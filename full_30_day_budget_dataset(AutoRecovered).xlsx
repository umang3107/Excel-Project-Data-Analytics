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mang\Documents\"/>
    </mc:Choice>
  </mc:AlternateContent>
  <xr:revisionPtr revIDLastSave="0" documentId="13_ncr:2001_{BAF2C6C9-157B-46F7-A650-C759F6144AD9}" xr6:coauthVersionLast="47" xr6:coauthVersionMax="47" xr10:uidLastSave="{00000000-0000-0000-0000-000000000000}"/>
  <bookViews>
    <workbookView xWindow="-108" yWindow="-108" windowWidth="23256" windowHeight="12456" firstSheet="2" activeTab="5" xr2:uid="{D4935E75-3648-4538-8D75-4DD3861827D1}"/>
  </bookViews>
  <sheets>
    <sheet name="full_30_day_budget_dataset" sheetId="1" r:id="rId1"/>
    <sheet name="Table and extra information" sheetId="3" r:id="rId2"/>
    <sheet name="Date and Day Expense" sheetId="9" r:id="rId3"/>
    <sheet name="Expense Distribution" sheetId="5" r:id="rId4"/>
    <sheet name="Mode of payment" sheetId="7" r:id="rId5"/>
    <sheet name="Main dashboard" sheetId="8" r:id="rId6"/>
  </sheets>
  <definedNames>
    <definedName name="Slicer_Payment_Mode">#N/A</definedName>
  </definedNames>
  <calcPr calcId="191029"/>
  <pivotCaches>
    <pivotCache cacheId="1" r:id="rId7"/>
    <pivotCache cacheId="34" r:id="rId8"/>
  </pivotCaches>
  <fileRecoveryPr repairLoad="1"/>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8" l="1"/>
  <c r="N3" i="8"/>
  <c r="N2" i="8"/>
  <c r="K3" i="8"/>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K4" i="8"/>
  <c r="K1" i="8"/>
  <c r="K2" i="8"/>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B4" i="8"/>
  <c r="B3" i="8"/>
  <c r="B5" i="8" l="1"/>
  <c r="B6" i="8" s="1"/>
</calcChain>
</file>

<file path=xl/sharedStrings.xml><?xml version="1.0" encoding="utf-8"?>
<sst xmlns="http://schemas.openxmlformats.org/spreadsheetml/2006/main" count="1864" uniqueCount="90">
  <si>
    <t>Date</t>
  </si>
  <si>
    <t>Month</t>
  </si>
  <si>
    <t>Category</t>
  </si>
  <si>
    <t>Sub-Category</t>
  </si>
  <si>
    <t>Description</t>
  </si>
  <si>
    <t>Type</t>
  </si>
  <si>
    <t>Payment Mode</t>
  </si>
  <si>
    <t>Amount</t>
  </si>
  <si>
    <t>May</t>
  </si>
  <si>
    <t>Salary</t>
  </si>
  <si>
    <t>Primary</t>
  </si>
  <si>
    <t>Monthly Salary</t>
  </si>
  <si>
    <t>Income</t>
  </si>
  <si>
    <t>Bank</t>
  </si>
  <si>
    <t>Food</t>
  </si>
  <si>
    <t>Groceries</t>
  </si>
  <si>
    <t>Groceries expense</t>
  </si>
  <si>
    <t>Expense</t>
  </si>
  <si>
    <t>Card</t>
  </si>
  <si>
    <t>Transport</t>
  </si>
  <si>
    <t>Public</t>
  </si>
  <si>
    <t>Public expense</t>
  </si>
  <si>
    <t>Shopping</t>
  </si>
  <si>
    <t>Electronics</t>
  </si>
  <si>
    <t>Electronics expense</t>
  </si>
  <si>
    <t>UPI</t>
  </si>
  <si>
    <t>Bills</t>
  </si>
  <si>
    <t>Electricity</t>
  </si>
  <si>
    <t>Electricity expense</t>
  </si>
  <si>
    <t>Cash</t>
  </si>
  <si>
    <t>Snacks</t>
  </si>
  <si>
    <t>Snacks expense</t>
  </si>
  <si>
    <t>Rent</t>
  </si>
  <si>
    <t>Housing</t>
  </si>
  <si>
    <t>Room Rent</t>
  </si>
  <si>
    <t>Entertainment</t>
  </si>
  <si>
    <t>Movies</t>
  </si>
  <si>
    <t>Movies expense</t>
  </si>
  <si>
    <t>Local</t>
  </si>
  <si>
    <t>Local expense</t>
  </si>
  <si>
    <t>Mobile</t>
  </si>
  <si>
    <t>Mobile expense</t>
  </si>
  <si>
    <t>Dining</t>
  </si>
  <si>
    <t>Dining expense</t>
  </si>
  <si>
    <t>Fuel</t>
  </si>
  <si>
    <t>Fuel expense</t>
  </si>
  <si>
    <t>Internet</t>
  </si>
  <si>
    <t>Internet expense</t>
  </si>
  <si>
    <t>Music</t>
  </si>
  <si>
    <t>Music expense</t>
  </si>
  <si>
    <t>Clothing</t>
  </si>
  <si>
    <t>Clothing expense</t>
  </si>
  <si>
    <t>Gaming</t>
  </si>
  <si>
    <t>Gaming expense</t>
  </si>
  <si>
    <t>Water</t>
  </si>
  <si>
    <t>Water expense</t>
  </si>
  <si>
    <t>Online</t>
  </si>
  <si>
    <t>Online expense</t>
  </si>
  <si>
    <t>Row Labels</t>
  </si>
  <si>
    <t>Sum of Amount</t>
  </si>
  <si>
    <t>Grand Total</t>
  </si>
  <si>
    <t>Metric</t>
  </si>
  <si>
    <t>Value</t>
  </si>
  <si>
    <t>Total Income</t>
  </si>
  <si>
    <t>Total Expense</t>
  </si>
  <si>
    <t>Savings</t>
  </si>
  <si>
    <t>Sum</t>
  </si>
  <si>
    <t>Average</t>
  </si>
  <si>
    <t>Running Total</t>
  </si>
  <si>
    <t>Count</t>
  </si>
  <si>
    <t>Personal Budget Dashboard</t>
  </si>
  <si>
    <r>
      <t xml:space="preserve"> </t>
    </r>
    <r>
      <rPr>
        <b/>
        <sz val="12"/>
        <color theme="1"/>
        <rFont val="Aptos Narrow"/>
        <family val="2"/>
        <scheme val="minor"/>
      </rPr>
      <t>Savings %</t>
    </r>
  </si>
  <si>
    <t>Food is the highest expense category</t>
  </si>
  <si>
    <t>(Multiple Items)</t>
  </si>
  <si>
    <t>Day</t>
  </si>
  <si>
    <t>Friday</t>
  </si>
  <si>
    <t>Saturday</t>
  </si>
  <si>
    <t>Sunday</t>
  </si>
  <si>
    <t>Monday</t>
  </si>
  <si>
    <t>Tuesday</t>
  </si>
  <si>
    <t>Wednesday</t>
  </si>
  <si>
    <t>Thursday</t>
  </si>
  <si>
    <t>Average Daily Expense</t>
  </si>
  <si>
    <t>Day Type</t>
  </si>
  <si>
    <t>Highest Single  Day Expense</t>
  </si>
  <si>
    <t>Lowest Single Day Expense</t>
  </si>
  <si>
    <t>Payment Method</t>
  </si>
  <si>
    <t>Total Spending</t>
  </si>
  <si>
    <t xml:space="preserve">CASH </t>
  </si>
  <si>
    <t>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</si>
</sst>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6" formatCode="&quot;₹&quot;\ #,##0.00"/>
    <numFmt numFmtId="167" formatCode="&quot;₹&quot;\ #,##0.0"/>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2"/>
      <color theme="1"/>
      <name val="Aptos Narrow"/>
      <family val="2"/>
      <scheme val="minor"/>
    </font>
    <font>
      <b/>
      <sz val="16"/>
      <color theme="1"/>
      <name val="Aptos Narrow"/>
      <family val="2"/>
      <scheme val="minor"/>
    </font>
    <font>
      <b/>
      <sz val="13"/>
      <color theme="0"/>
      <name val="Aptos Narrow"/>
      <family val="2"/>
      <scheme val="minor"/>
    </font>
    <font>
      <b/>
      <sz val="12"/>
      <color rgb="FFFF0000"/>
      <name val="Aptos Narrow"/>
      <family val="2"/>
      <scheme val="minor"/>
    </font>
    <font>
      <b/>
      <sz val="12"/>
      <color rgb="FF00B050"/>
      <name val="Aptos Narrow"/>
      <family val="2"/>
      <scheme val="minor"/>
    </font>
    <font>
      <b/>
      <sz val="14"/>
      <color rgb="FF00B0F0"/>
      <name val="Aptos Narrow"/>
      <family val="2"/>
      <scheme val="minor"/>
    </font>
    <font>
      <b/>
      <sz val="12"/>
      <color theme="3" tint="0.499984740745262"/>
      <name val="Aptos Narrow"/>
      <family val="2"/>
      <scheme val="minor"/>
    </font>
    <font>
      <sz val="12"/>
      <color theme="0"/>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499984740745262"/>
        <bgColor indexed="64"/>
      </patternFill>
    </fill>
    <fill>
      <patternFill patternType="solid">
        <fgColor theme="2" tint="-9.9978637043366805E-2"/>
        <bgColor indexed="64"/>
      </patternFill>
    </fill>
    <fill>
      <patternFill patternType="solid">
        <fgColor rgb="FF0070C0"/>
        <bgColor indexed="64"/>
      </patternFill>
    </fill>
    <fill>
      <patternFill patternType="solid">
        <fgColor theme="5" tint="0.39997558519241921"/>
        <bgColor indexed="64"/>
      </patternFill>
    </fill>
    <fill>
      <patternFill patternType="solid">
        <fgColor rgb="FFFFFF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xf numFmtId="0" fontId="20" fillId="36" borderId="0" xfId="0" applyFont="1" applyFill="1" applyBorder="1" applyAlignment="1">
      <alignment horizontal="center"/>
    </xf>
    <xf numFmtId="0" fontId="21" fillId="21" borderId="10" xfId="30" applyFont="1" applyBorder="1"/>
    <xf numFmtId="0" fontId="22" fillId="0" borderId="10" xfId="0" applyFont="1" applyBorder="1" applyAlignment="1"/>
    <xf numFmtId="0" fontId="23" fillId="0" borderId="10" xfId="0" applyFont="1" applyBorder="1" applyAlignment="1"/>
    <xf numFmtId="0" fontId="19" fillId="0" borderId="10" xfId="0" applyFont="1" applyBorder="1" applyAlignment="1"/>
    <xf numFmtId="10" fontId="19" fillId="0" borderId="10" xfId="0" applyNumberFormat="1" applyFont="1" applyBorder="1" applyAlignment="1">
      <alignment horizontal="right"/>
    </xf>
    <xf numFmtId="0" fontId="24" fillId="37" borderId="0" xfId="0" applyFont="1" applyFill="1" applyAlignment="1">
      <alignment horizontal="center"/>
    </xf>
    <xf numFmtId="0" fontId="25" fillId="0" borderId="10" xfId="0" applyFont="1" applyBorder="1" applyAlignment="1"/>
    <xf numFmtId="164" fontId="26" fillId="35" borderId="10" xfId="0" applyNumberFormat="1" applyFont="1" applyFill="1" applyBorder="1" applyAlignment="1">
      <alignment horizontal="right"/>
    </xf>
    <xf numFmtId="164" fontId="26" fillId="34" borderId="10" xfId="0" applyNumberFormat="1" applyFont="1" applyFill="1" applyBorder="1" applyAlignment="1">
      <alignment horizontal="right"/>
    </xf>
    <xf numFmtId="164" fontId="26" fillId="38" borderId="10" xfId="0" applyNumberFormat="1" applyFont="1" applyFill="1" applyBorder="1" applyAlignment="1">
      <alignment horizontal="right"/>
    </xf>
    <xf numFmtId="0" fontId="18" fillId="39" borderId="0" xfId="0" applyFont="1" applyFill="1"/>
    <xf numFmtId="14" fontId="0" fillId="0" borderId="0" xfId="0" applyNumberFormat="1" applyAlignment="1">
      <alignment horizontal="left"/>
    </xf>
    <xf numFmtId="0" fontId="0" fillId="0" borderId="0" xfId="0" applyFont="1"/>
    <xf numFmtId="0" fontId="13" fillId="40" borderId="11" xfId="0" applyFont="1" applyFill="1" applyBorder="1"/>
    <xf numFmtId="164" fontId="13" fillId="40" borderId="12" xfId="0" applyNumberFormat="1" applyFont="1" applyFill="1" applyBorder="1"/>
    <xf numFmtId="0" fontId="13" fillId="33" borderId="13" xfId="0" applyFont="1" applyFill="1" applyBorder="1"/>
    <xf numFmtId="167" fontId="13" fillId="33" borderId="14" xfId="0" applyNumberFormat="1" applyFont="1" applyFill="1" applyBorder="1"/>
    <xf numFmtId="0" fontId="13" fillId="35" borderId="13" xfId="0" applyFont="1" applyFill="1" applyBorder="1"/>
    <xf numFmtId="164" fontId="13" fillId="35" borderId="14" xfId="0" applyNumberFormat="1" applyFont="1" applyFill="1" applyBorder="1"/>
    <xf numFmtId="0" fontId="13" fillId="41" borderId="15" xfId="0" applyFont="1" applyFill="1" applyBorder="1"/>
    <xf numFmtId="164" fontId="13" fillId="41" borderId="16" xfId="0" applyNumberFormat="1" applyFont="1" applyFill="1" applyBorder="1"/>
    <xf numFmtId="0" fontId="0" fillId="34" borderId="10" xfId="0" applyFont="1" applyFill="1" applyBorder="1"/>
    <xf numFmtId="164" fontId="0" fillId="34" borderId="10" xfId="0" applyNumberFormat="1" applyFont="1" applyFill="1" applyBorder="1"/>
    <xf numFmtId="0" fontId="0" fillId="35" borderId="10" xfId="0" applyFont="1" applyFill="1" applyBorder="1"/>
    <xf numFmtId="164" fontId="0" fillId="35" borderId="10" xfId="0" applyNumberFormat="1" applyFont="1" applyFill="1" applyBorder="1"/>
    <xf numFmtId="0" fontId="0" fillId="42" borderId="10" xfId="0" applyFont="1" applyFill="1" applyBorder="1"/>
    <xf numFmtId="164" fontId="0" fillId="42" borderId="10" xfId="0" applyNumberFormat="1" applyFont="1" applyFill="1" applyBorder="1"/>
    <xf numFmtId="0" fontId="21" fillId="38"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9" formatCode="dd/mm/yyyy"/>
    </dxf>
  </dxfs>
  <tableStyles count="0" defaultTableStyle="TableStyleMedium2" defaultPivotStyle="PivotStyleLight16"/>
  <colors>
    <mruColors>
      <color rgb="FFF553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[full_30_day_budget_dataset(AutoRecovered).xlsx]Mode of payment!PivotTable6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'Mode of payment'!$B$4</c:f>
              <c:strCache>
                <c:ptCount val="1"/>
                <c:pt idx="0">
                  <c:v>Total</c:v>
                </c:pt>
              </c:strCache>
            </c:strRef>
          </c:tx>
          <c:spPr>
            <a:solidFill>
              <a:schemeClr val="accent2"/>
            </a:solidFill>
            <a:ln>
              <a:noFill/>
            </a:ln>
            <a:effectLst/>
          </c:spPr>
          <c:invertIfNegative val="0"/>
          <c:cat>
            <c:strRef>
              <c:f>'Mode of payment'!$A$5:$A$8</c:f>
              <c:strCache>
                <c:ptCount val="3"/>
                <c:pt idx="0">
                  <c:v>Card</c:v>
                </c:pt>
                <c:pt idx="1">
                  <c:v>Cash</c:v>
                </c:pt>
                <c:pt idx="2">
                  <c:v>UPI</c:v>
                </c:pt>
              </c:strCache>
            </c:strRef>
          </c:cat>
          <c:val>
            <c:numRef>
              <c:f>'Mode of payment'!$B$5:$B$8</c:f>
              <c:numCache>
                <c:formatCode>General</c:formatCode>
                <c:ptCount val="3"/>
                <c:pt idx="0">
                  <c:v>34001</c:v>
                </c:pt>
                <c:pt idx="1">
                  <c:v>41599</c:v>
                </c:pt>
                <c:pt idx="2">
                  <c:v>53114</c:v>
                </c:pt>
              </c:numCache>
            </c:numRef>
          </c:val>
          <c:extLst>
            <c:ext xmlns:c16="http://schemas.microsoft.com/office/drawing/2014/chart" uri="{C3380CC4-5D6E-409C-BE32-E72D297353CC}">
              <c16:uniqueId val="{00000000-8B40-431B-9779-AF33D56F1A63}"/>
            </c:ext>
          </c:extLst>
        </c:ser>
        <c:dLbls>
          <c:showLegendKey val="0"/>
          <c:showVal val="0"/>
          <c:showCatName val="0"/>
          <c:showSerName val="0"/>
          <c:showPercent val="0"/>
          <c:showBubbleSize val="0"/>
        </c:dLbls>
        <c:gapWidth val="150"/>
        <c:overlap val="100"/>
        <c:axId val="1254085280"/>
        <c:axId val="1254081440"/>
      </c:barChart>
      <c:catAx>
        <c:axId val="1254085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81440"/>
        <c:crosses val="autoZero"/>
        <c:auto val="1"/>
        <c:lblAlgn val="ctr"/>
        <c:lblOffset val="100"/>
        <c:noMultiLvlLbl val="0"/>
      </c:catAx>
      <c:valAx>
        <c:axId val="1254081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8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60" b="1" i="0" u="none" strike="noStrike" kern="1200" spc="0" baseline="0">
                <a:solidFill>
                  <a:schemeClr val="tx1">
                    <a:lumMod val="65000"/>
                    <a:lumOff val="35000"/>
                  </a:schemeClr>
                </a:solidFill>
                <a:latin typeface="+mn-lt"/>
                <a:ea typeface="+mn-ea"/>
                <a:cs typeface="+mn-cs"/>
              </a:defRPr>
            </a:pPr>
            <a:r>
              <a:rPr lang="en-US" sz="1460" b="1" i="0" baseline="0"/>
              <a:t>Income vs Expense Comparison</a:t>
            </a:r>
          </a:p>
          <a:p>
            <a:pPr>
              <a:defRPr sz="1460" b="1" i="0" baseline="0"/>
            </a:pPr>
            <a:endParaRPr lang="en-US" sz="1460" b="1" i="0" baseline="0"/>
          </a:p>
        </c:rich>
      </c:tx>
      <c:overlay val="0"/>
      <c:spPr>
        <a:noFill/>
        <a:ln>
          <a:noFill/>
        </a:ln>
        <a:effectLst/>
      </c:spPr>
      <c:txPr>
        <a:bodyPr rot="0" spcFirstLastPara="1" vertOverflow="ellipsis" vert="horz" wrap="square" anchor="ctr" anchorCtr="1"/>
        <a:lstStyle/>
        <a:p>
          <a:pPr>
            <a:defRPr sz="146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69188709980304"/>
          <c:y val="0.25938644688644691"/>
          <c:w val="0.82225708683253196"/>
          <c:h val="0.6393394335323469"/>
        </c:manualLayout>
      </c:layout>
      <c:barChart>
        <c:barDir val="col"/>
        <c:grouping val="clustered"/>
        <c:varyColors val="0"/>
        <c:ser>
          <c:idx val="0"/>
          <c:order val="0"/>
          <c:tx>
            <c:strRef>
              <c:f>'Main dashboard'!$B$2</c:f>
              <c:strCache>
                <c:ptCount val="1"/>
                <c:pt idx="0">
                  <c:v>Value</c:v>
                </c:pt>
              </c:strCache>
            </c:strRef>
          </c:tx>
          <c:spPr>
            <a:solidFill>
              <a:schemeClr val="tx2">
                <a:lumMod val="25000"/>
                <a:lumOff val="75000"/>
              </a:schemeClr>
            </a:solidFill>
            <a:ln>
              <a:noFill/>
            </a:ln>
            <a:effectLst/>
          </c:spPr>
          <c:invertIfNegative val="0"/>
          <c:dPt>
            <c:idx val="0"/>
            <c:invertIfNegative val="0"/>
            <c:bubble3D val="0"/>
            <c:spPr>
              <a:solidFill>
                <a:srgbClr val="00B050"/>
              </a:solidFill>
              <a:ln>
                <a:solidFill>
                  <a:schemeClr val="tx1"/>
                </a:solidFill>
              </a:ln>
              <a:effectLst/>
            </c:spPr>
            <c:extLst>
              <c:ext xmlns:c16="http://schemas.microsoft.com/office/drawing/2014/chart" uri="{C3380CC4-5D6E-409C-BE32-E72D297353CC}">
                <c16:uniqueId val="{00000004-767C-4EDB-B6AC-7F4D27EA02D6}"/>
              </c:ext>
            </c:extLst>
          </c:dPt>
          <c:dPt>
            <c:idx val="1"/>
            <c:invertIfNegative val="0"/>
            <c:bubble3D val="0"/>
            <c:spPr>
              <a:solidFill>
                <a:srgbClr val="FF0000"/>
              </a:solidFill>
              <a:ln>
                <a:noFill/>
              </a:ln>
              <a:effectLst/>
            </c:spPr>
            <c:extLst>
              <c:ext xmlns:c16="http://schemas.microsoft.com/office/drawing/2014/chart" uri="{C3380CC4-5D6E-409C-BE32-E72D297353CC}">
                <c16:uniqueId val="{00000002-767C-4EDB-B6AC-7F4D27EA02D6}"/>
              </c:ext>
            </c:extLst>
          </c:dPt>
          <c:dPt>
            <c:idx val="2"/>
            <c:invertIfNegative val="0"/>
            <c:bubble3D val="0"/>
            <c:spPr>
              <a:solidFill>
                <a:schemeClr val="tx2">
                  <a:lumMod val="50000"/>
                  <a:lumOff val="50000"/>
                </a:schemeClr>
              </a:solidFill>
              <a:ln>
                <a:solidFill>
                  <a:srgbClr val="00B050"/>
                </a:solidFill>
              </a:ln>
              <a:effectLst/>
            </c:spPr>
            <c:extLst>
              <c:ext xmlns:c16="http://schemas.microsoft.com/office/drawing/2014/chart" uri="{C3380CC4-5D6E-409C-BE32-E72D297353CC}">
                <c16:uniqueId val="{00000003-767C-4EDB-B6AC-7F4D27EA02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dashboard'!$A$3:$A$5</c:f>
              <c:strCache>
                <c:ptCount val="3"/>
                <c:pt idx="0">
                  <c:v>Total Income</c:v>
                </c:pt>
                <c:pt idx="1">
                  <c:v>Total Expense</c:v>
                </c:pt>
                <c:pt idx="2">
                  <c:v>Savings</c:v>
                </c:pt>
              </c:strCache>
            </c:strRef>
          </c:cat>
          <c:val>
            <c:numRef>
              <c:f>'Main dashboard'!$B$3:$B$5</c:f>
              <c:numCache>
                <c:formatCode>"₹"\ #,##0</c:formatCode>
                <c:ptCount val="3"/>
                <c:pt idx="0">
                  <c:v>150000</c:v>
                </c:pt>
                <c:pt idx="1">
                  <c:v>128714</c:v>
                </c:pt>
                <c:pt idx="2">
                  <c:v>21286</c:v>
                </c:pt>
              </c:numCache>
            </c:numRef>
          </c:val>
          <c:extLst>
            <c:ext xmlns:c16="http://schemas.microsoft.com/office/drawing/2014/chart" uri="{C3380CC4-5D6E-409C-BE32-E72D297353CC}">
              <c16:uniqueId val="{00000000-767C-4EDB-B6AC-7F4D27EA02D6}"/>
            </c:ext>
          </c:extLst>
        </c:ser>
        <c:dLbls>
          <c:dLblPos val="outEnd"/>
          <c:showLegendKey val="0"/>
          <c:showVal val="1"/>
          <c:showCatName val="0"/>
          <c:showSerName val="0"/>
          <c:showPercent val="0"/>
          <c:showBubbleSize val="0"/>
        </c:dLbls>
        <c:gapWidth val="219"/>
        <c:overlap val="-27"/>
        <c:axId val="799659103"/>
        <c:axId val="799652383"/>
      </c:barChart>
      <c:catAx>
        <c:axId val="79965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52383"/>
        <c:crosses val="autoZero"/>
        <c:auto val="1"/>
        <c:lblAlgn val="ctr"/>
        <c:lblOffset val="100"/>
        <c:noMultiLvlLbl val="0"/>
      </c:catAx>
      <c:valAx>
        <c:axId val="79965238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591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nchor="ctr" anchorCtr="0"/>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[full_30_day_budget_dataset(AutoRecovered).xlsx]Expense Distribution!PivotTable3</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Expense Distribution</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3"/>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'Expense Distribution'!$B$3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6F2-4847-B92F-E68D1A2E02A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6F2-4847-B92F-E68D1A2E02A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6F2-4847-B92F-E68D1A2E02A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6F2-4847-B92F-E68D1A2E02A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6F2-4847-B92F-E68D1A2E02A8}"/>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6F2-4847-B92F-E68D1A2E02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'Expense Distribution'!$A$4:$A$10</c:f>
              <c:strCache>
                <c:ptCount val="6"/>
                <c:pt idx="0">
                  <c:v>Bills</c:v>
                </c:pt>
                <c:pt idx="1">
                  <c:v>Entertainment</c:v>
                </c:pt>
                <c:pt idx="2">
                  <c:v>Food</c:v>
                </c:pt>
                <c:pt idx="3">
                  <c:v>Rent</c:v>
                </c:pt>
                <c:pt idx="4">
                  <c:v>Shopping</c:v>
                </c:pt>
                <c:pt idx="5">
                  <c:v>Transport</c:v>
                </c:pt>
              </c:strCache>
            </c:strRef>
          </c:cat>
          <c:val>
            <c:numRef>
              <c:f>'Expense Distribution'!$B$4:$B$10</c:f>
              <c:numCache>
                <c:formatCode>General</c:formatCode>
                <c:ptCount val="6"/>
                <c:pt idx="0">
                  <c:v>31280</c:v>
                </c:pt>
                <c:pt idx="1">
                  <c:v>25046</c:v>
                </c:pt>
                <c:pt idx="2">
                  <c:v>38740</c:v>
                </c:pt>
                <c:pt idx="3">
                  <c:v>6000</c:v>
                </c:pt>
                <c:pt idx="4">
                  <c:v>12320</c:v>
                </c:pt>
                <c:pt idx="5">
                  <c:v>15328</c:v>
                </c:pt>
              </c:numCache>
            </c:numRef>
          </c:val>
          <c:extLst>
            <c:ext xmlns:c16="http://schemas.microsoft.com/office/drawing/2014/chart" uri="{C3380CC4-5D6E-409C-BE32-E72D297353CC}">
              <c16:uniqueId val="{0000000C-86F2-4847-B92F-E68D1A2E02A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[full_30_day_budget_dataset(AutoRecovered).xlsx]Date and Day Expense!PivotTable4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Daily Expense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and Day Expense'!$B$3</c:f>
              <c:strCache>
                <c:ptCount val="1"/>
                <c:pt idx="0">
                  <c:v>Total</c:v>
                </c:pt>
              </c:strCache>
            </c:strRef>
          </c:tx>
          <c:spPr>
            <a:ln w="28575" cap="rnd">
              <a:solidFill>
                <a:schemeClr val="accent1"/>
              </a:solidFill>
              <a:round/>
            </a:ln>
            <a:effectLst/>
          </c:spPr>
          <c:marker>
            <c:symbol val="none"/>
          </c:marker>
          <c:cat>
            <c:strRef>
              <c:f>'Date and Day Expense'!$A$4:$A$34</c:f>
              <c:strCache>
                <c:ptCount val="30"/>
                <c:pt idx="0">
                  <c:v>01-05-2026</c:v>
                </c:pt>
                <c:pt idx="1">
                  <c:v>02-05-2026</c:v>
                </c:pt>
                <c:pt idx="2">
                  <c:v>03-05-2026</c:v>
                </c:pt>
                <c:pt idx="3">
                  <c:v>04-05-2026</c:v>
                </c:pt>
                <c:pt idx="4">
                  <c:v>05-05-2026</c:v>
                </c:pt>
                <c:pt idx="5">
                  <c:v>06-05-2026</c:v>
                </c:pt>
                <c:pt idx="6">
                  <c:v>07-05-2026</c:v>
                </c:pt>
                <c:pt idx="7">
                  <c:v>08-05-2026</c:v>
                </c:pt>
                <c:pt idx="8">
                  <c:v>09-05-2026</c:v>
                </c:pt>
                <c:pt idx="9">
                  <c:v>10-05-2026</c:v>
                </c:pt>
                <c:pt idx="10">
                  <c:v>11-05-2026</c:v>
                </c:pt>
                <c:pt idx="11">
                  <c:v>12-05-2026</c:v>
                </c:pt>
                <c:pt idx="12">
                  <c:v>13-05-2026</c:v>
                </c:pt>
                <c:pt idx="13">
                  <c:v>14-05-2026</c:v>
                </c:pt>
                <c:pt idx="14">
                  <c:v>15-05-2026</c:v>
                </c:pt>
                <c:pt idx="15">
                  <c:v>16-05-2026</c:v>
                </c:pt>
                <c:pt idx="16">
                  <c:v>17-05-2026</c:v>
                </c:pt>
                <c:pt idx="17">
                  <c:v>18-05-2026</c:v>
                </c:pt>
                <c:pt idx="18">
                  <c:v>19-05-2026</c:v>
                </c:pt>
                <c:pt idx="19">
                  <c:v>20-05-2026</c:v>
                </c:pt>
                <c:pt idx="20">
                  <c:v>21-05-2026</c:v>
                </c:pt>
                <c:pt idx="21">
                  <c:v>22-05-2026</c:v>
                </c:pt>
                <c:pt idx="22">
                  <c:v>23-05-2026</c:v>
                </c:pt>
                <c:pt idx="23">
                  <c:v>24-05-2026</c:v>
                </c:pt>
                <c:pt idx="24">
                  <c:v>25-05-2026</c:v>
                </c:pt>
                <c:pt idx="25">
                  <c:v>26-05-2026</c:v>
                </c:pt>
                <c:pt idx="26">
                  <c:v>27-05-2026</c:v>
                </c:pt>
                <c:pt idx="27">
                  <c:v>28-05-2026</c:v>
                </c:pt>
                <c:pt idx="28">
                  <c:v>29-05-2026</c:v>
                </c:pt>
                <c:pt idx="29">
                  <c:v>30-05-2026</c:v>
                </c:pt>
              </c:strCache>
            </c:strRef>
          </c:cat>
          <c:val>
            <c:numRef>
              <c:f>'Date and Day Expense'!$B$4:$B$34</c:f>
              <c:numCache>
                <c:formatCode>General</c:formatCode>
                <c:ptCount val="30"/>
                <c:pt idx="0">
                  <c:v>5136</c:v>
                </c:pt>
                <c:pt idx="1">
                  <c:v>8982</c:v>
                </c:pt>
                <c:pt idx="2">
                  <c:v>4876</c:v>
                </c:pt>
                <c:pt idx="3">
                  <c:v>3502</c:v>
                </c:pt>
                <c:pt idx="4">
                  <c:v>6359</c:v>
                </c:pt>
                <c:pt idx="5">
                  <c:v>4182</c:v>
                </c:pt>
                <c:pt idx="6">
                  <c:v>4164</c:v>
                </c:pt>
                <c:pt idx="7">
                  <c:v>1484</c:v>
                </c:pt>
                <c:pt idx="8">
                  <c:v>4154</c:v>
                </c:pt>
                <c:pt idx="9">
                  <c:v>4109</c:v>
                </c:pt>
                <c:pt idx="10">
                  <c:v>2759</c:v>
                </c:pt>
                <c:pt idx="11">
                  <c:v>5120</c:v>
                </c:pt>
                <c:pt idx="12">
                  <c:v>3680</c:v>
                </c:pt>
                <c:pt idx="13">
                  <c:v>4201</c:v>
                </c:pt>
                <c:pt idx="14">
                  <c:v>5080</c:v>
                </c:pt>
                <c:pt idx="15">
                  <c:v>3638</c:v>
                </c:pt>
                <c:pt idx="16">
                  <c:v>2720</c:v>
                </c:pt>
                <c:pt idx="17">
                  <c:v>5365</c:v>
                </c:pt>
                <c:pt idx="18">
                  <c:v>3798</c:v>
                </c:pt>
                <c:pt idx="19">
                  <c:v>3879</c:v>
                </c:pt>
                <c:pt idx="20">
                  <c:v>4675</c:v>
                </c:pt>
                <c:pt idx="21">
                  <c:v>3616</c:v>
                </c:pt>
                <c:pt idx="22">
                  <c:v>3247</c:v>
                </c:pt>
                <c:pt idx="23">
                  <c:v>5239</c:v>
                </c:pt>
                <c:pt idx="24">
                  <c:v>3768</c:v>
                </c:pt>
                <c:pt idx="25">
                  <c:v>5285</c:v>
                </c:pt>
                <c:pt idx="26">
                  <c:v>2598</c:v>
                </c:pt>
                <c:pt idx="27">
                  <c:v>3274</c:v>
                </c:pt>
                <c:pt idx="28">
                  <c:v>6812</c:v>
                </c:pt>
                <c:pt idx="29">
                  <c:v>3012</c:v>
                </c:pt>
              </c:numCache>
            </c:numRef>
          </c:val>
          <c:smooth val="0"/>
          <c:extLst>
            <c:ext xmlns:c16="http://schemas.microsoft.com/office/drawing/2014/chart" uri="{C3380CC4-5D6E-409C-BE32-E72D297353CC}">
              <c16:uniqueId val="{00000004-8823-4A55-BC94-1D40C5F59654}"/>
            </c:ext>
          </c:extLst>
        </c:ser>
        <c:dLbls>
          <c:dLblPos val="t"/>
          <c:showLegendKey val="0"/>
          <c:showVal val="0"/>
          <c:showCatName val="0"/>
          <c:showSerName val="0"/>
          <c:showPercent val="0"/>
          <c:showBubbleSize val="0"/>
        </c:dLbls>
        <c:smooth val="0"/>
        <c:axId val="922361615"/>
        <c:axId val="922351055"/>
      </c:lineChart>
      <c:catAx>
        <c:axId val="922361615"/>
        <c:scaling>
          <c:orientation val="minMax"/>
        </c:scaling>
        <c:delete val="0"/>
        <c:axPos val="b"/>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922351055"/>
        <c:crosses val="autoZero"/>
        <c:auto val="1"/>
        <c:lblAlgn val="ctr"/>
        <c:lblOffset val="100"/>
        <c:tickLblSkip val="3"/>
        <c:noMultiLvlLbl val="0"/>
      </c:catAx>
      <c:valAx>
        <c:axId val="922351055"/>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236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[full_30_day_budget_dataset(AutoRecovered).xlsx]Date and Day Expense!PivotTable8</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Weekly Spending Pattern</a:t>
            </a:r>
          </a:p>
        </c:rich>
      </c:tx>
      <c:layout>
        <c:manualLayout>
          <c:xMode val="edge"/>
          <c:yMode val="edge"/>
          <c:x val="0.28815966754155731"/>
          <c:y val="4.4254884806065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'Date and Day Expense'!$G$7</c:f>
              <c:strCache>
                <c:ptCount val="1"/>
                <c:pt idx="0">
                  <c:v>Total</c:v>
                </c:pt>
              </c:strCache>
            </c:strRef>
          </c:tx>
          <c:spPr>
            <a:solidFill>
              <a:schemeClr val="accent1"/>
            </a:solidFill>
            <a:ln>
              <a:noFill/>
            </a:ln>
            <a:effectLst/>
          </c:spPr>
          <c:invertIfNegative val="0"/>
          <c:cat>
            <c:strRef>
              <c:f>'Date and Day Expense'!$F$8:$F$15</c:f>
              <c:strCache>
                <c:ptCount val="7"/>
                <c:pt idx="0">
                  <c:v>Sunday</c:v>
                </c:pt>
                <c:pt idx="1">
                  <c:v>Monday</c:v>
                </c:pt>
                <c:pt idx="2">
                  <c:v>Tuesday</c:v>
                </c:pt>
                <c:pt idx="3">
                  <c:v>Wednesday</c:v>
                </c:pt>
                <c:pt idx="4">
                  <c:v>Thursday</c:v>
                </c:pt>
                <c:pt idx="5">
                  <c:v>Friday</c:v>
                </c:pt>
                <c:pt idx="6">
                  <c:v>Saturday</c:v>
                </c:pt>
              </c:strCache>
            </c:strRef>
          </c:cat>
          <c:val>
            <c:numRef>
              <c:f>'Date and Day Expense'!$G$8:$G$15</c:f>
              <c:numCache>
                <c:formatCode>General</c:formatCode>
                <c:ptCount val="7"/>
                <c:pt idx="0">
                  <c:v>16944</c:v>
                </c:pt>
                <c:pt idx="1">
                  <c:v>15394</c:v>
                </c:pt>
                <c:pt idx="2">
                  <c:v>20562</c:v>
                </c:pt>
                <c:pt idx="3">
                  <c:v>14339</c:v>
                </c:pt>
                <c:pt idx="4">
                  <c:v>16314</c:v>
                </c:pt>
                <c:pt idx="5">
                  <c:v>22128</c:v>
                </c:pt>
                <c:pt idx="6">
                  <c:v>23033</c:v>
                </c:pt>
              </c:numCache>
            </c:numRef>
          </c:val>
          <c:extLst>
            <c:ext xmlns:c16="http://schemas.microsoft.com/office/drawing/2014/chart" uri="{C3380CC4-5D6E-409C-BE32-E72D297353CC}">
              <c16:uniqueId val="{00000000-8E72-4F4A-8BAF-42B37A3E1B7E}"/>
            </c:ext>
          </c:extLst>
        </c:ser>
        <c:dLbls>
          <c:showLegendKey val="0"/>
          <c:showVal val="0"/>
          <c:showCatName val="0"/>
          <c:showSerName val="0"/>
          <c:showPercent val="0"/>
          <c:showBubbleSize val="0"/>
        </c:dLbls>
        <c:gapWidth val="219"/>
        <c:overlap val="-27"/>
        <c:axId val="975910079"/>
        <c:axId val="975910559"/>
      </c:barChart>
      <c:catAx>
        <c:axId val="9759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75910559"/>
        <c:crosses val="autoZero"/>
        <c:auto val="1"/>
        <c:lblAlgn val="ctr"/>
        <c:lblOffset val="100"/>
        <c:noMultiLvlLbl val="0"/>
      </c:catAx>
      <c:valAx>
        <c:axId val="975910559"/>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7591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lotArea>
      <c:layout/>
      <c:doughnutChart>
        <c:varyColors val="1"/>
        <c:ser>
          <c:idx val="0"/>
          <c:order val="0"/>
          <c:tx>
            <c:strRef>
              <c:f>'Main dashboard'!$N$1</c:f>
              <c:strCache>
                <c:ptCount val="1"/>
                <c:pt idx="0">
                  <c:v>Total Spending</c:v>
                </c:pt>
              </c:strCache>
            </c:strRef>
          </c:tx>
          <c:dPt>
            <c:idx val="0"/>
            <c:bubble3D val="0"/>
            <c:spPr>
              <a:solidFill>
                <a:srgbClr val="FFFF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B8E-4415-9154-55C6D0A7EADE}"/>
              </c:ext>
            </c:extLst>
          </c:dPt>
          <c:dPt>
            <c:idx val="1"/>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B8E-4415-9154-55C6D0A7EADE}"/>
              </c:ext>
            </c:extLst>
          </c:dPt>
          <c:dPt>
            <c:idx val="2"/>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6B8E-4415-9154-55C6D0A7EADE}"/>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'Main dashboard'!$M$2:$M$4</c:f>
              <c:strCache>
                <c:ptCount val="3"/>
                <c:pt idx="0">
                  <c:v>UPI</c:v>
                </c:pt>
                <c:pt idx="1">
                  <c:v>CASH </c:v>
                </c:pt>
                <c:pt idx="2">
                  <c:v>CARD</c:v>
                </c:pt>
              </c:strCache>
            </c:strRef>
          </c:cat>
          <c:val>
            <c:numRef>
              <c:f>'Main dashboard'!$N$2:$N$4</c:f>
              <c:numCache>
                <c:formatCode>"₹"\ #,##0</c:formatCode>
                <c:ptCount val="3"/>
                <c:pt idx="0">
                  <c:v>53114</c:v>
                </c:pt>
                <c:pt idx="1">
                  <c:v>41599</c:v>
                </c:pt>
                <c:pt idx="2">
                  <c:v>34001</c:v>
                </c:pt>
              </c:numCache>
            </c:numRef>
          </c:val>
          <c:extLst>
            <c:ext xmlns:c16="http://schemas.microsoft.com/office/drawing/2014/chart" uri="{C3380CC4-5D6E-409C-BE32-E72D297353CC}">
              <c16:uniqueId val="{00000000-6B8E-4415-9154-55C6D0A7EAD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24</xdr:row>
      <xdr:rowOff>0</xdr:rowOff>
    </xdr:from>
    <xdr:to>
      <xdr:col>15</xdr:col>
      <xdr:colOff>0</xdr:colOff>
      <xdr:row>38</xdr:row>
      <xdr:rowOff>20955</xdr:rowOff>
    </xdr:to>
    <mc:AlternateContent xmlns:mc="http://schemas.openxmlformats.org/markup-compatibility/2006">
      <mc:Choice xmlns:a14="http://schemas.microsoft.com/office/drawing/2010/main" Requires="a14">
        <xdr:graphicFrame macro="">
          <xdr:nvGraphicFramePr>
            <xdr:cNvPr id="2" name="Payment Mode 1">
              <a:extLst>
                <a:ext uri="{FF2B5EF4-FFF2-40B4-BE49-F238E27FC236}">
                  <a16:creationId xmlns:a16="http://schemas.microsoft.com/office/drawing/2014/main" id="{8033C780-B147-448F-80B4-940DDC355F57}"/>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7315200" y="4389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220980</xdr:colOff>
      <xdr:row>13</xdr:row>
      <xdr:rowOff>110490</xdr:rowOff>
    </xdr:from>
    <xdr:to>
      <xdr:col>15</xdr:col>
      <xdr:colOff>205740</xdr:colOff>
      <xdr:row>28</xdr:row>
      <xdr:rowOff>110490</xdr:rowOff>
    </xdr:to>
    <xdr:graphicFrame macro="">
      <xdr:nvGraphicFramePr>
        <xdr:cNvPr id="2" name="Chart 1">
          <a:extLst>
            <a:ext uri="{FF2B5EF4-FFF2-40B4-BE49-F238E27FC236}">
              <a16:creationId xmlns:a16="http://schemas.microsoft.com/office/drawing/2014/main" id="{8E126D6E-5519-F835-ABFC-6C7EC5D9B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601980</xdr:colOff>
      <xdr:row>9</xdr:row>
      <xdr:rowOff>53340</xdr:rowOff>
    </xdr:from>
    <xdr:ext cx="184731" cy="264560"/>
    <xdr:sp macro="" textlink="">
      <xdr:nvSpPr>
        <xdr:cNvPr id="2" name="TextBox 1">
          <a:extLst>
            <a:ext uri="{FF2B5EF4-FFF2-40B4-BE49-F238E27FC236}">
              <a16:creationId xmlns:a16="http://schemas.microsoft.com/office/drawing/2014/main" id="{2B3CB980-4F88-DF5C-E21C-FA62A5CF1920}"/>
            </a:ext>
          </a:extLst>
        </xdr:cNvPr>
        <xdr:cNvSpPr txBox="1"/>
      </xdr:nvSpPr>
      <xdr:spPr>
        <a:xfrm>
          <a:off x="4107180" y="171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23266</xdr:colOff>
      <xdr:row>0</xdr:row>
      <xdr:rowOff>13487</xdr:rowOff>
    </xdr:from>
    <xdr:to>
      <xdr:col>8</xdr:col>
      <xdr:colOff>566442</xdr:colOff>
      <xdr:row>12</xdr:row>
      <xdr:rowOff>13485</xdr:rowOff>
    </xdr:to>
    <xdr:graphicFrame macro="">
      <xdr:nvGraphicFramePr>
        <xdr:cNvPr id="3" name="Chart 2">
          <a:extLst>
            <a:ext uri="{FF2B5EF4-FFF2-40B4-BE49-F238E27FC236}">
              <a16:creationId xmlns:a16="http://schemas.microsoft.com/office/drawing/2014/main" id="{5B0793A0-2F0C-B696-BEB8-B0AB3DE74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20230</xdr:rowOff>
    </xdr:from>
    <xdr:to>
      <xdr:col>4</xdr:col>
      <xdr:colOff>168584</xdr:colOff>
      <xdr:row>26</xdr:row>
      <xdr:rowOff>114049</xdr:rowOff>
    </xdr:to>
    <xdr:graphicFrame macro="">
      <xdr:nvGraphicFramePr>
        <xdr:cNvPr id="4" name="Chart 1">
          <a:extLst>
            <a:ext uri="{FF2B5EF4-FFF2-40B4-BE49-F238E27FC236}">
              <a16:creationId xmlns:a16="http://schemas.microsoft.com/office/drawing/2014/main" id="{ED5945EF-05A6-29B2-5B8E-099387FE9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6</xdr:row>
      <xdr:rowOff>99060</xdr:rowOff>
    </xdr:from>
    <xdr:ext cx="2341756" cy="444406"/>
    <xdr:sp macro="" textlink="">
      <xdr:nvSpPr>
        <xdr:cNvPr id="5" name="TextBox 4">
          <a:extLst>
            <a:ext uri="{FF2B5EF4-FFF2-40B4-BE49-F238E27FC236}">
              <a16:creationId xmlns:a16="http://schemas.microsoft.com/office/drawing/2014/main" id="{FBF00C36-7369-944E-B01E-6D19196B8D06}"/>
            </a:ext>
          </a:extLst>
        </xdr:cNvPr>
        <xdr:cNvSpPr txBox="1"/>
      </xdr:nvSpPr>
      <xdr:spPr>
        <a:xfrm>
          <a:off x="0" y="1437206"/>
          <a:ext cx="2341756" cy="444406"/>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tx1"/>
              </a:solidFill>
            </a:rPr>
            <a:t>Saving </a:t>
          </a:r>
          <a:r>
            <a:rPr lang="en-IN" sz="1050">
              <a:solidFill>
                <a:schemeClr val="tx1"/>
              </a:solidFill>
            </a:rPr>
            <a:t>rate</a:t>
          </a:r>
          <a:r>
            <a:rPr lang="en-IN" sz="1100">
              <a:solidFill>
                <a:schemeClr val="tx1"/>
              </a:solidFill>
            </a:rPr>
            <a:t> is 14.19% ,incdicating moderate financial control</a:t>
          </a:r>
          <a:r>
            <a:rPr lang="en-IN" sz="1100"/>
            <a:t>.</a:t>
          </a:r>
        </a:p>
      </xdr:txBody>
    </xdr:sp>
    <xdr:clientData/>
  </xdr:oneCellAnchor>
  <xdr:oneCellAnchor>
    <xdr:from>
      <xdr:col>0</xdr:col>
      <xdr:colOff>0</xdr:colOff>
      <xdr:row>9</xdr:row>
      <xdr:rowOff>53340</xdr:rowOff>
    </xdr:from>
    <xdr:ext cx="2339340" cy="464820"/>
    <xdr:sp macro="" textlink="">
      <xdr:nvSpPr>
        <xdr:cNvPr id="6" name="TextBox 5">
          <a:extLst>
            <a:ext uri="{FF2B5EF4-FFF2-40B4-BE49-F238E27FC236}">
              <a16:creationId xmlns:a16="http://schemas.microsoft.com/office/drawing/2014/main" id="{5BFE66DB-06C6-5319-C385-1C571B3547F0}"/>
            </a:ext>
          </a:extLst>
        </xdr:cNvPr>
        <xdr:cNvSpPr txBox="1"/>
      </xdr:nvSpPr>
      <xdr:spPr>
        <a:xfrm>
          <a:off x="0" y="1934738"/>
          <a:ext cx="2339340" cy="464820"/>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Expenses are within income,maintaining</a:t>
          </a:r>
        </a:p>
        <a:p>
          <a:r>
            <a:rPr lang="en-IN" sz="1100"/>
            <a:t> a positive savings balance.</a:t>
          </a:r>
        </a:p>
      </xdr:txBody>
    </xdr:sp>
    <xdr:clientData/>
  </xdr:oneCellAnchor>
  <xdr:oneCellAnchor>
    <xdr:from>
      <xdr:col>0</xdr:col>
      <xdr:colOff>0</xdr:colOff>
      <xdr:row>27</xdr:row>
      <xdr:rowOff>0</xdr:rowOff>
    </xdr:from>
    <xdr:ext cx="3911150" cy="264560"/>
    <xdr:sp macro="" textlink="">
      <xdr:nvSpPr>
        <xdr:cNvPr id="7" name="TextBox 6">
          <a:extLst>
            <a:ext uri="{FF2B5EF4-FFF2-40B4-BE49-F238E27FC236}">
              <a16:creationId xmlns:a16="http://schemas.microsoft.com/office/drawing/2014/main" id="{51BFE087-C053-04F8-5F0E-2C800E50324A}"/>
            </a:ext>
          </a:extLst>
        </xdr:cNvPr>
        <xdr:cNvSpPr txBox="1"/>
      </xdr:nvSpPr>
      <xdr:spPr>
        <a:xfrm>
          <a:off x="0" y="5205876"/>
          <a:ext cx="3911150" cy="264560"/>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Food accounts</a:t>
          </a:r>
          <a:r>
            <a:rPr lang="en-IN" sz="1100" baseline="0"/>
            <a:t> for the highest share of total expenses(30%)</a:t>
          </a:r>
          <a:endParaRPr lang="en-IN" sz="1100"/>
        </a:p>
      </xdr:txBody>
    </xdr:sp>
    <xdr:clientData/>
  </xdr:oneCellAnchor>
  <xdr:twoCellAnchor>
    <xdr:from>
      <xdr:col>4</xdr:col>
      <xdr:colOff>174723</xdr:colOff>
      <xdr:row>11</xdr:row>
      <xdr:rowOff>185852</xdr:rowOff>
    </xdr:from>
    <xdr:to>
      <xdr:col>10</xdr:col>
      <xdr:colOff>130097</xdr:colOff>
      <xdr:row>25</xdr:row>
      <xdr:rowOff>124459</xdr:rowOff>
    </xdr:to>
    <xdr:graphicFrame macro="">
      <xdr:nvGraphicFramePr>
        <xdr:cNvPr id="17" name="Chart 1">
          <a:extLst>
            <a:ext uri="{FF2B5EF4-FFF2-40B4-BE49-F238E27FC236}">
              <a16:creationId xmlns:a16="http://schemas.microsoft.com/office/drawing/2014/main" id="{8BB38135-160A-CCE8-F810-6E5427DF4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194514</xdr:colOff>
      <xdr:row>25</xdr:row>
      <xdr:rowOff>140999</xdr:rowOff>
    </xdr:from>
    <xdr:to>
      <xdr:col>10</xdr:col>
      <xdr:colOff>152646</xdr:colOff>
      <xdr:row>40</xdr:row>
      <xdr:rowOff>120901</xdr:rowOff>
    </xdr:to>
    <xdr:graphicFrame macro="">
      <xdr:nvGraphicFramePr>
        <xdr:cNvPr id="22" name="Chart 5">
          <a:extLst>
            <a:ext uri="{FF2B5EF4-FFF2-40B4-BE49-F238E27FC236}">
              <a16:creationId xmlns:a16="http://schemas.microsoft.com/office/drawing/2014/main" id="{885B6784-0341-7CEC-83FB-C7C809122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78828</xdr:colOff>
      <xdr:row>36</xdr:row>
      <xdr:rowOff>87586</xdr:rowOff>
    </xdr:from>
    <xdr:ext cx="184731" cy="264560"/>
    <xdr:sp macro="" textlink="">
      <xdr:nvSpPr>
        <xdr:cNvPr id="23" name="TextBox 22">
          <a:extLst>
            <a:ext uri="{FF2B5EF4-FFF2-40B4-BE49-F238E27FC236}">
              <a16:creationId xmlns:a16="http://schemas.microsoft.com/office/drawing/2014/main" id="{B4A00323-B0CB-2FC1-F0C0-5B7D036AE1BA}"/>
            </a:ext>
          </a:extLst>
        </xdr:cNvPr>
        <xdr:cNvSpPr txBox="1"/>
      </xdr:nvSpPr>
      <xdr:spPr>
        <a:xfrm>
          <a:off x="5018690" y="69981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167270</xdr:colOff>
      <xdr:row>40</xdr:row>
      <xdr:rowOff>138322</xdr:rowOff>
    </xdr:from>
    <xdr:ext cx="5159574" cy="270556"/>
    <xdr:sp macro="" textlink="">
      <xdr:nvSpPr>
        <xdr:cNvPr id="24" name="TextBox 23">
          <a:extLst>
            <a:ext uri="{FF2B5EF4-FFF2-40B4-BE49-F238E27FC236}">
              <a16:creationId xmlns:a16="http://schemas.microsoft.com/office/drawing/2014/main" id="{F76A000D-F989-7732-F705-F3E06A99D572}"/>
            </a:ext>
          </a:extLst>
        </xdr:cNvPr>
        <xdr:cNvSpPr txBox="1"/>
      </xdr:nvSpPr>
      <xdr:spPr>
        <a:xfrm>
          <a:off x="3940099" y="7841956"/>
          <a:ext cx="5159574" cy="270556"/>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Mid-week</a:t>
          </a:r>
          <a:r>
            <a:rPr lang="en-IN" sz="1100" baseline="0"/>
            <a:t> spending builds gradually(Tue-Thu),peaking to Fri/Sat before dropping on Sunday</a:t>
          </a:r>
        </a:p>
        <a:p>
          <a:endParaRPr lang="en-IN" sz="1100" baseline="0">
            <a:solidFill>
              <a:schemeClr val="tx1"/>
            </a:solidFill>
            <a:latin typeface="+mn-lt"/>
            <a:ea typeface="+mn-ea"/>
            <a:cs typeface="+mn-cs"/>
          </a:endParaRPr>
        </a:p>
      </xdr:txBody>
    </xdr:sp>
    <xdr:clientData/>
  </xdr:oneCellAnchor>
  <xdr:twoCellAnchor>
    <xdr:from>
      <xdr:col>8</xdr:col>
      <xdr:colOff>585439</xdr:colOff>
      <xdr:row>4</xdr:row>
      <xdr:rowOff>65048</xdr:rowOff>
    </xdr:from>
    <xdr:to>
      <xdr:col>10</xdr:col>
      <xdr:colOff>139390</xdr:colOff>
      <xdr:row>11</xdr:row>
      <xdr:rowOff>143106</xdr:rowOff>
    </xdr:to>
    <xdr:sp macro="" textlink="">
      <xdr:nvSpPr>
        <xdr:cNvPr id="25" name="Rectangle 24">
          <a:extLst>
            <a:ext uri="{FF2B5EF4-FFF2-40B4-BE49-F238E27FC236}">
              <a16:creationId xmlns:a16="http://schemas.microsoft.com/office/drawing/2014/main" id="{63D3CBA1-3F99-AEB4-C255-FE194A428930}"/>
            </a:ext>
          </a:extLst>
        </xdr:cNvPr>
        <xdr:cNvSpPr/>
      </xdr:nvSpPr>
      <xdr:spPr>
        <a:xfrm>
          <a:off x="6988098" y="1012902"/>
          <a:ext cx="1942170" cy="1397619"/>
        </a:xfrm>
        <a:prstGeom prst="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High</a:t>
          </a:r>
          <a:r>
            <a:rPr lang="en-IN" sz="1200" b="1" baseline="0">
              <a:solidFill>
                <a:schemeClr val="bg1"/>
              </a:solidFill>
            </a:rPr>
            <a:t> variance suggests unplanned spending behavior.</a:t>
          </a:r>
        </a:p>
        <a:p>
          <a:pPr algn="l"/>
          <a:r>
            <a:rPr lang="en-IN" sz="1200" b="1" baseline="0">
              <a:solidFill>
                <a:schemeClr val="bg1"/>
              </a:solidFill>
            </a:rPr>
            <a:t>Avg daily spend of  Rs 4290 can be used as a personal daily cap target.</a:t>
          </a:r>
        </a:p>
        <a:p>
          <a:pPr algn="l"/>
          <a:endParaRPr lang="en-IN" sz="1200" b="1" baseline="0">
            <a:solidFill>
              <a:schemeClr val="bg1"/>
            </a:solidFill>
            <a:latin typeface="+mn-lt"/>
            <a:ea typeface="+mn-ea"/>
            <a:cs typeface="+mn-cs"/>
          </a:endParaRPr>
        </a:p>
      </xdr:txBody>
    </xdr:sp>
    <xdr:clientData/>
  </xdr:twoCellAnchor>
  <xdr:twoCellAnchor>
    <xdr:from>
      <xdr:col>10</xdr:col>
      <xdr:colOff>148683</xdr:colOff>
      <xdr:row>5</xdr:row>
      <xdr:rowOff>167268</xdr:rowOff>
    </xdr:from>
    <xdr:to>
      <xdr:col>12</xdr:col>
      <xdr:colOff>882804</xdr:colOff>
      <xdr:row>10</xdr:row>
      <xdr:rowOff>65049</xdr:rowOff>
    </xdr:to>
    <xdr:sp macro="" textlink="">
      <xdr:nvSpPr>
        <xdr:cNvPr id="28" name="Rectangle 27">
          <a:extLst>
            <a:ext uri="{FF2B5EF4-FFF2-40B4-BE49-F238E27FC236}">
              <a16:creationId xmlns:a16="http://schemas.microsoft.com/office/drawing/2014/main" id="{D8D9F70E-3940-E328-42BA-9774BE37DC7F}"/>
            </a:ext>
          </a:extLst>
        </xdr:cNvPr>
        <xdr:cNvSpPr/>
      </xdr:nvSpPr>
      <xdr:spPr>
        <a:xfrm>
          <a:off x="8939561" y="1310268"/>
          <a:ext cx="2499731" cy="836342"/>
        </a:xfrm>
        <a:prstGeom prst="rect">
          <a:avLst/>
        </a:prstGeom>
        <a:solidFill>
          <a:schemeClr val="tx2">
            <a:lumMod val="50000"/>
            <a:lumOff val="5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200" b="1"/>
            <a:t>UPI accounts for the highest share</a:t>
          </a:r>
          <a:r>
            <a:rPr lang="en-IN" sz="1200" b="1" baseline="0"/>
            <a:t> of transactions ,showing strong preference for digital payments</a:t>
          </a:r>
        </a:p>
        <a:p>
          <a:pPr algn="l"/>
          <a:endParaRPr lang="en-IN" sz="1100"/>
        </a:p>
      </xdr:txBody>
    </xdr:sp>
    <xdr:clientData/>
  </xdr:twoCellAnchor>
  <xdr:twoCellAnchor>
    <xdr:from>
      <xdr:col>10</xdr:col>
      <xdr:colOff>176561</xdr:colOff>
      <xdr:row>11</xdr:row>
      <xdr:rowOff>120805</xdr:rowOff>
    </xdr:from>
    <xdr:to>
      <xdr:col>13</xdr:col>
      <xdr:colOff>1096536</xdr:colOff>
      <xdr:row>24</xdr:row>
      <xdr:rowOff>55756</xdr:rowOff>
    </xdr:to>
    <xdr:graphicFrame macro="">
      <xdr:nvGraphicFramePr>
        <xdr:cNvPr id="29" name="Chart 28">
          <a:extLst>
            <a:ext uri="{FF2B5EF4-FFF2-40B4-BE49-F238E27FC236}">
              <a16:creationId xmlns:a16="http://schemas.microsoft.com/office/drawing/2014/main" id="{66C6CD4E-9DC3-7943-CBAD-2B198A1DF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16</xdr:col>
      <xdr:colOff>399585</xdr:colOff>
      <xdr:row>38</xdr:row>
      <xdr:rowOff>167269</xdr:rowOff>
    </xdr:from>
    <xdr:ext cx="2397513" cy="455342"/>
    <xdr:sp macro="" textlink="">
      <xdr:nvSpPr>
        <xdr:cNvPr id="30" name="TextBox 29">
          <a:extLst>
            <a:ext uri="{FF2B5EF4-FFF2-40B4-BE49-F238E27FC236}">
              <a16:creationId xmlns:a16="http://schemas.microsoft.com/office/drawing/2014/main" id="{DCC009FC-8DC5-DBC7-220B-4C9523206526}"/>
            </a:ext>
          </a:extLst>
        </xdr:cNvPr>
        <xdr:cNvSpPr txBox="1"/>
      </xdr:nvSpPr>
      <xdr:spPr>
        <a:xfrm>
          <a:off x="14701024" y="7499196"/>
          <a:ext cx="2397513" cy="455342"/>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solidFill>
                <a:schemeClr val="bg1"/>
              </a:solidFill>
            </a:rPr>
            <a:t>Created by Umang Kumar</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ng Kumar" refreshedDate="46146.192713194447" createdVersion="8" refreshedVersion="8" minRefreshableVersion="3" recordCount="149" xr:uid="{C0D5ACAF-8E54-4214-BAD3-2324D2668520}">
  <cacheSource type="worksheet">
    <worksheetSource name="Table7"/>
  </cacheSource>
  <cacheFields count="8">
    <cacheField name="Date" numFmtId="14">
      <sharedItems containsSemiMixedTypes="0" containsNonDate="0" containsDate="1" containsString="0" minDate="2026-05-01T00:00:00" maxDate="2026-05-31T00:00:00"/>
    </cacheField>
    <cacheField name="Month" numFmtId="0">
      <sharedItems/>
    </cacheField>
    <cacheField name="Category" numFmtId="0">
      <sharedItems count="7">
        <s v="Salary"/>
        <s v="Food"/>
        <s v="Transport"/>
        <s v="Shopping"/>
        <s v="Bills"/>
        <s v="Rent"/>
        <s v="Entertainment"/>
      </sharedItems>
    </cacheField>
    <cacheField name="Sub-Category" numFmtId="0">
      <sharedItems count="18">
        <s v="Primary"/>
        <s v="Groceries"/>
        <s v="Public"/>
        <s v="Electronics"/>
        <s v="Electricity"/>
        <s v="Snacks"/>
        <s v="Housing"/>
        <s v="Movies"/>
        <s v="Local"/>
        <s v="Mobile"/>
        <s v="Dining"/>
        <s v="Fuel"/>
        <s v="Internet"/>
        <s v="Music"/>
        <s v="Clothing"/>
        <s v="Gaming"/>
        <s v="Water"/>
        <s v="Online"/>
      </sharedItems>
    </cacheField>
    <cacheField name="Description" numFmtId="0">
      <sharedItems/>
    </cacheField>
    <cacheField name="Type" numFmtId="0">
      <sharedItems count="2">
        <s v="Income"/>
        <s v="Expense"/>
      </sharedItems>
    </cacheField>
    <cacheField name="Payment Mode" numFmtId="0">
      <sharedItems count="4">
        <s v="Bank"/>
        <s v="Card"/>
        <s v="UPI"/>
        <s v="Cash"/>
      </sharedItems>
    </cacheField>
    <cacheField name="Amount" numFmtId="0">
      <sharedItems containsSemiMixedTypes="0" containsString="0" containsNumber="1" containsInteger="1" minValue="84" maxValue="150000"/>
    </cacheField>
  </cacheFields>
  <extLst>
    <ext xmlns:x14="http://schemas.microsoft.com/office/spreadsheetml/2009/9/main" uri="{725AE2AE-9491-48be-B2B4-4EB974FC3084}">
      <x14:pivotCacheDefinition pivotCacheId="14152057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ng Kumar" refreshedDate="46148.170300578706" createdVersion="8" refreshedVersion="8" minRefreshableVersion="3" recordCount="149" xr:uid="{52F77512-F8EE-4F9A-BD6A-9CC0F1CD618A}">
  <cacheSource type="worksheet">
    <worksheetSource name="Table7"/>
  </cacheSource>
  <cacheFields count="11">
    <cacheField name="Date" numFmtId="14">
      <sharedItems containsSemiMixedTypes="0" containsNonDate="0" containsDate="1" containsString="0" minDate="2026-05-01T00:00:00" maxDate="2026-05-31T00:00:00" count="3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sharedItems>
    </cacheField>
    <cacheField name="Month" numFmtId="0">
      <sharedItems/>
    </cacheField>
    <cacheField name="Category" numFmtId="0">
      <sharedItems count="7">
        <s v="Salary"/>
        <s v="Food"/>
        <s v="Transport"/>
        <s v="Shopping"/>
        <s v="Bills"/>
        <s v="Rent"/>
        <s v="Entertainment"/>
      </sharedItems>
    </cacheField>
    <cacheField name="Sub-Category" numFmtId="0">
      <sharedItems/>
    </cacheField>
    <cacheField name="Description" numFmtId="0">
      <sharedItems/>
    </cacheField>
    <cacheField name="Type" numFmtId="0">
      <sharedItems count="2">
        <s v="Income"/>
        <s v="Expense"/>
      </sharedItems>
    </cacheField>
    <cacheField name="Payment Mode" numFmtId="0">
      <sharedItems count="4">
        <s v="Bank"/>
        <s v="Card"/>
        <s v="UPI"/>
        <s v="Cash"/>
      </sharedItems>
    </cacheField>
    <cacheField name="Amount" numFmtId="0">
      <sharedItems containsSemiMixedTypes="0" containsString="0" containsNumber="1" containsInteger="1" minValue="84" maxValue="150000"/>
    </cacheField>
    <cacheField name="Day" numFmtId="0">
      <sharedItems count="7">
        <s v="Friday"/>
        <s v="Saturday"/>
        <s v="Sunday"/>
        <s v="Monday"/>
        <s v="Tuesday"/>
        <s v="Wednesday"/>
        <s v="Thursday"/>
      </sharedItems>
    </cacheField>
    <cacheField name="Day Type" numFmtId="0">
      <sharedItems count="2">
        <s v="Weekday"/>
        <s v="Weekend"/>
      </sharedItems>
    </cacheField>
    <cacheField name="Field1" numFmtId="0" formula=" 0" databaseField="0"/>
  </cacheFields>
  <extLst>
    <ext xmlns:x14="http://schemas.microsoft.com/office/spreadsheetml/2009/9/main" uri="{725AE2AE-9491-48be-B2B4-4EB974FC3084}">
      <x14:pivotCacheDefinition pivotCacheId="1932793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d v="2026-05-01T00:00:00"/>
    <s v="May"/>
    <x v="0"/>
    <x v="0"/>
    <s v="Monthly Salary"/>
    <x v="0"/>
    <x v="0"/>
    <n v="150000"/>
  </r>
  <r>
    <d v="2026-05-01T00:00:00"/>
    <s v="May"/>
    <x v="1"/>
    <x v="1"/>
    <s v="Groceries expense"/>
    <x v="1"/>
    <x v="1"/>
    <n v="1180"/>
  </r>
  <r>
    <d v="2026-05-01T00:00:00"/>
    <s v="May"/>
    <x v="2"/>
    <x v="2"/>
    <s v="Public expense"/>
    <x v="1"/>
    <x v="1"/>
    <n v="650"/>
  </r>
  <r>
    <d v="2026-05-01T00:00:00"/>
    <s v="May"/>
    <x v="3"/>
    <x v="3"/>
    <s v="Electronics expense"/>
    <x v="1"/>
    <x v="2"/>
    <n v="700"/>
  </r>
  <r>
    <d v="2026-05-01T00:00:00"/>
    <s v="May"/>
    <x v="4"/>
    <x v="4"/>
    <s v="Electricity expense"/>
    <x v="1"/>
    <x v="2"/>
    <n v="1228"/>
  </r>
  <r>
    <d v="2026-05-01T00:00:00"/>
    <s v="May"/>
    <x v="4"/>
    <x v="4"/>
    <s v="Electricity expense"/>
    <x v="1"/>
    <x v="3"/>
    <n v="564"/>
  </r>
  <r>
    <d v="2026-05-01T00:00:00"/>
    <s v="May"/>
    <x v="1"/>
    <x v="5"/>
    <s v="Snacks expense"/>
    <x v="1"/>
    <x v="1"/>
    <n v="814"/>
  </r>
  <r>
    <d v="2026-05-02T00:00:00"/>
    <s v="May"/>
    <x v="5"/>
    <x v="6"/>
    <s v="Room Rent"/>
    <x v="1"/>
    <x v="2"/>
    <n v="6000"/>
  </r>
  <r>
    <d v="2026-05-02T00:00:00"/>
    <s v="May"/>
    <x v="6"/>
    <x v="7"/>
    <s v="Movies expense"/>
    <x v="1"/>
    <x v="3"/>
    <n v="687"/>
  </r>
  <r>
    <d v="2026-05-02T00:00:00"/>
    <s v="May"/>
    <x v="2"/>
    <x v="8"/>
    <s v="Local expense"/>
    <x v="1"/>
    <x v="3"/>
    <n v="401"/>
  </r>
  <r>
    <d v="2026-05-02T00:00:00"/>
    <s v="May"/>
    <x v="3"/>
    <x v="3"/>
    <s v="Electronics expense"/>
    <x v="1"/>
    <x v="3"/>
    <n v="568"/>
  </r>
  <r>
    <d v="2026-05-02T00:00:00"/>
    <s v="May"/>
    <x v="3"/>
    <x v="3"/>
    <s v="Electronics expense"/>
    <x v="1"/>
    <x v="3"/>
    <n v="1110"/>
  </r>
  <r>
    <d v="2026-05-02T00:00:00"/>
    <s v="May"/>
    <x v="3"/>
    <x v="3"/>
    <s v="Electronics expense"/>
    <x v="1"/>
    <x v="3"/>
    <n v="216"/>
  </r>
  <r>
    <d v="2026-05-03T00:00:00"/>
    <s v="May"/>
    <x v="2"/>
    <x v="2"/>
    <s v="Public expense"/>
    <x v="1"/>
    <x v="2"/>
    <n v="782"/>
  </r>
  <r>
    <d v="2026-05-03T00:00:00"/>
    <s v="May"/>
    <x v="4"/>
    <x v="9"/>
    <s v="Mobile expense"/>
    <x v="1"/>
    <x v="2"/>
    <n v="1311"/>
  </r>
  <r>
    <d v="2026-05-03T00:00:00"/>
    <s v="May"/>
    <x v="1"/>
    <x v="10"/>
    <s v="Dining expense"/>
    <x v="1"/>
    <x v="2"/>
    <n v="1357"/>
  </r>
  <r>
    <d v="2026-05-03T00:00:00"/>
    <s v="May"/>
    <x v="1"/>
    <x v="10"/>
    <s v="Dining expense"/>
    <x v="1"/>
    <x v="3"/>
    <n v="958"/>
  </r>
  <r>
    <d v="2026-05-03T00:00:00"/>
    <s v="May"/>
    <x v="2"/>
    <x v="11"/>
    <s v="Fuel expense"/>
    <x v="1"/>
    <x v="3"/>
    <n v="468"/>
  </r>
  <r>
    <d v="2026-05-04T00:00:00"/>
    <s v="May"/>
    <x v="4"/>
    <x v="4"/>
    <s v="Electricity expense"/>
    <x v="1"/>
    <x v="2"/>
    <n v="561"/>
  </r>
  <r>
    <d v="2026-05-04T00:00:00"/>
    <s v="May"/>
    <x v="4"/>
    <x v="12"/>
    <s v="Internet expense"/>
    <x v="1"/>
    <x v="2"/>
    <n v="1087"/>
  </r>
  <r>
    <d v="2026-05-04T00:00:00"/>
    <s v="May"/>
    <x v="1"/>
    <x v="10"/>
    <s v="Dining expense"/>
    <x v="1"/>
    <x v="1"/>
    <n v="925"/>
  </r>
  <r>
    <d v="2026-05-04T00:00:00"/>
    <s v="May"/>
    <x v="6"/>
    <x v="13"/>
    <s v="Music expense"/>
    <x v="1"/>
    <x v="2"/>
    <n v="486"/>
  </r>
  <r>
    <d v="2026-05-04T00:00:00"/>
    <s v="May"/>
    <x v="1"/>
    <x v="1"/>
    <s v="Groceries expense"/>
    <x v="1"/>
    <x v="2"/>
    <n v="443"/>
  </r>
  <r>
    <d v="2026-05-05T00:00:00"/>
    <s v="May"/>
    <x v="3"/>
    <x v="14"/>
    <s v="Clothing expense"/>
    <x v="1"/>
    <x v="3"/>
    <n v="409"/>
  </r>
  <r>
    <d v="2026-05-05T00:00:00"/>
    <s v="May"/>
    <x v="4"/>
    <x v="12"/>
    <s v="Internet expense"/>
    <x v="1"/>
    <x v="1"/>
    <n v="1407"/>
  </r>
  <r>
    <d v="2026-05-05T00:00:00"/>
    <s v="May"/>
    <x v="1"/>
    <x v="10"/>
    <s v="Dining expense"/>
    <x v="1"/>
    <x v="2"/>
    <n v="556"/>
  </r>
  <r>
    <d v="2026-05-05T00:00:00"/>
    <s v="May"/>
    <x v="6"/>
    <x v="15"/>
    <s v="Gaming expense"/>
    <x v="1"/>
    <x v="3"/>
    <n v="1038"/>
  </r>
  <r>
    <d v="2026-05-05T00:00:00"/>
    <s v="May"/>
    <x v="2"/>
    <x v="11"/>
    <s v="Fuel expense"/>
    <x v="1"/>
    <x v="1"/>
    <n v="1467"/>
  </r>
  <r>
    <d v="2026-05-05T00:00:00"/>
    <s v="May"/>
    <x v="1"/>
    <x v="1"/>
    <s v="Groceries expense"/>
    <x v="1"/>
    <x v="1"/>
    <n v="1482"/>
  </r>
  <r>
    <d v="2026-05-06T00:00:00"/>
    <s v="May"/>
    <x v="3"/>
    <x v="14"/>
    <s v="Clothing expense"/>
    <x v="1"/>
    <x v="2"/>
    <n v="687"/>
  </r>
  <r>
    <d v="2026-05-06T00:00:00"/>
    <s v="May"/>
    <x v="1"/>
    <x v="1"/>
    <s v="Groceries expense"/>
    <x v="1"/>
    <x v="2"/>
    <n v="1012"/>
  </r>
  <r>
    <d v="2026-05-06T00:00:00"/>
    <s v="May"/>
    <x v="1"/>
    <x v="5"/>
    <s v="Snacks expense"/>
    <x v="1"/>
    <x v="2"/>
    <n v="1350"/>
  </r>
  <r>
    <d v="2026-05-06T00:00:00"/>
    <s v="May"/>
    <x v="6"/>
    <x v="7"/>
    <s v="Movies expense"/>
    <x v="1"/>
    <x v="3"/>
    <n v="1133"/>
  </r>
  <r>
    <d v="2026-05-07T00:00:00"/>
    <s v="May"/>
    <x v="1"/>
    <x v="10"/>
    <s v="Dining expense"/>
    <x v="1"/>
    <x v="2"/>
    <n v="1250"/>
  </r>
  <r>
    <d v="2026-05-07T00:00:00"/>
    <s v="May"/>
    <x v="6"/>
    <x v="13"/>
    <s v="Music expense"/>
    <x v="1"/>
    <x v="3"/>
    <n v="733"/>
  </r>
  <r>
    <d v="2026-05-07T00:00:00"/>
    <s v="May"/>
    <x v="4"/>
    <x v="16"/>
    <s v="Water expense"/>
    <x v="1"/>
    <x v="3"/>
    <n v="1109"/>
  </r>
  <r>
    <d v="2026-05-07T00:00:00"/>
    <s v="May"/>
    <x v="4"/>
    <x v="4"/>
    <s v="Electricity expense"/>
    <x v="1"/>
    <x v="3"/>
    <n v="1072"/>
  </r>
  <r>
    <d v="2026-05-08T00:00:00"/>
    <s v="May"/>
    <x v="6"/>
    <x v="7"/>
    <s v="Movies expense"/>
    <x v="1"/>
    <x v="2"/>
    <n v="327"/>
  </r>
  <r>
    <d v="2026-05-08T00:00:00"/>
    <s v="May"/>
    <x v="1"/>
    <x v="10"/>
    <s v="Dining expense"/>
    <x v="1"/>
    <x v="3"/>
    <n v="456"/>
  </r>
  <r>
    <d v="2026-05-08T00:00:00"/>
    <s v="May"/>
    <x v="6"/>
    <x v="15"/>
    <s v="Gaming expense"/>
    <x v="1"/>
    <x v="1"/>
    <n v="701"/>
  </r>
  <r>
    <d v="2026-05-09T00:00:00"/>
    <s v="May"/>
    <x v="6"/>
    <x v="13"/>
    <s v="Music expense"/>
    <x v="1"/>
    <x v="1"/>
    <n v="1416"/>
  </r>
  <r>
    <d v="2026-05-09T00:00:00"/>
    <s v="May"/>
    <x v="4"/>
    <x v="12"/>
    <s v="Internet expense"/>
    <x v="1"/>
    <x v="2"/>
    <n v="576"/>
  </r>
  <r>
    <d v="2026-05-09T00:00:00"/>
    <s v="May"/>
    <x v="3"/>
    <x v="3"/>
    <s v="Electronics expense"/>
    <x v="1"/>
    <x v="1"/>
    <n v="731"/>
  </r>
  <r>
    <d v="2026-05-09T00:00:00"/>
    <s v="May"/>
    <x v="6"/>
    <x v="15"/>
    <s v="Gaming expense"/>
    <x v="1"/>
    <x v="2"/>
    <n v="286"/>
  </r>
  <r>
    <d v="2026-05-09T00:00:00"/>
    <s v="May"/>
    <x v="1"/>
    <x v="17"/>
    <s v="Online expense"/>
    <x v="1"/>
    <x v="2"/>
    <n v="1145"/>
  </r>
  <r>
    <d v="2026-05-10T00:00:00"/>
    <s v="May"/>
    <x v="1"/>
    <x v="17"/>
    <s v="Online expense"/>
    <x v="1"/>
    <x v="3"/>
    <n v="1165"/>
  </r>
  <r>
    <d v="2026-05-10T00:00:00"/>
    <s v="May"/>
    <x v="1"/>
    <x v="5"/>
    <s v="Snacks expense"/>
    <x v="1"/>
    <x v="2"/>
    <n v="962"/>
  </r>
  <r>
    <d v="2026-05-10T00:00:00"/>
    <s v="May"/>
    <x v="6"/>
    <x v="7"/>
    <s v="Movies expense"/>
    <x v="1"/>
    <x v="1"/>
    <n v="1087"/>
  </r>
  <r>
    <d v="2026-05-10T00:00:00"/>
    <s v="May"/>
    <x v="1"/>
    <x v="10"/>
    <s v="Dining expense"/>
    <x v="1"/>
    <x v="2"/>
    <n v="895"/>
  </r>
  <r>
    <d v="2026-05-11T00:00:00"/>
    <s v="May"/>
    <x v="6"/>
    <x v="13"/>
    <s v="Music expense"/>
    <x v="1"/>
    <x v="1"/>
    <n v="840"/>
  </r>
  <r>
    <d v="2026-05-11T00:00:00"/>
    <s v="May"/>
    <x v="2"/>
    <x v="11"/>
    <s v="Fuel expense"/>
    <x v="1"/>
    <x v="2"/>
    <n v="694"/>
  </r>
  <r>
    <d v="2026-05-11T00:00:00"/>
    <s v="May"/>
    <x v="1"/>
    <x v="5"/>
    <s v="Snacks expense"/>
    <x v="1"/>
    <x v="2"/>
    <n v="1225"/>
  </r>
  <r>
    <d v="2026-05-12T00:00:00"/>
    <s v="May"/>
    <x v="4"/>
    <x v="12"/>
    <s v="Internet expense"/>
    <x v="1"/>
    <x v="1"/>
    <n v="609"/>
  </r>
  <r>
    <d v="2026-05-12T00:00:00"/>
    <s v="May"/>
    <x v="1"/>
    <x v="1"/>
    <s v="Groceries expense"/>
    <x v="1"/>
    <x v="2"/>
    <n v="910"/>
  </r>
  <r>
    <d v="2026-05-12T00:00:00"/>
    <s v="May"/>
    <x v="6"/>
    <x v="15"/>
    <s v="Gaming expense"/>
    <x v="1"/>
    <x v="1"/>
    <n v="1110"/>
  </r>
  <r>
    <d v="2026-05-12T00:00:00"/>
    <s v="May"/>
    <x v="2"/>
    <x v="11"/>
    <s v="Fuel expense"/>
    <x v="1"/>
    <x v="3"/>
    <n v="1142"/>
  </r>
  <r>
    <d v="2026-05-12T00:00:00"/>
    <s v="May"/>
    <x v="1"/>
    <x v="5"/>
    <s v="Snacks expense"/>
    <x v="1"/>
    <x v="3"/>
    <n v="1136"/>
  </r>
  <r>
    <d v="2026-05-12T00:00:00"/>
    <s v="May"/>
    <x v="1"/>
    <x v="17"/>
    <s v="Online expense"/>
    <x v="1"/>
    <x v="3"/>
    <n v="213"/>
  </r>
  <r>
    <d v="2026-05-13T00:00:00"/>
    <s v="May"/>
    <x v="2"/>
    <x v="2"/>
    <s v="Public expense"/>
    <x v="1"/>
    <x v="3"/>
    <n v="476"/>
  </r>
  <r>
    <d v="2026-05-13T00:00:00"/>
    <s v="May"/>
    <x v="2"/>
    <x v="2"/>
    <s v="Public expense"/>
    <x v="1"/>
    <x v="3"/>
    <n v="1256"/>
  </r>
  <r>
    <d v="2026-05-13T00:00:00"/>
    <s v="May"/>
    <x v="4"/>
    <x v="4"/>
    <s v="Electricity expense"/>
    <x v="1"/>
    <x v="2"/>
    <n v="200"/>
  </r>
  <r>
    <d v="2026-05-13T00:00:00"/>
    <s v="May"/>
    <x v="1"/>
    <x v="1"/>
    <s v="Groceries expense"/>
    <x v="1"/>
    <x v="3"/>
    <n v="718"/>
  </r>
  <r>
    <d v="2026-05-13T00:00:00"/>
    <s v="May"/>
    <x v="1"/>
    <x v="10"/>
    <s v="Dining expense"/>
    <x v="1"/>
    <x v="2"/>
    <n v="1030"/>
  </r>
  <r>
    <d v="2026-05-14T00:00:00"/>
    <s v="May"/>
    <x v="4"/>
    <x v="12"/>
    <s v="Internet expense"/>
    <x v="1"/>
    <x v="2"/>
    <n v="1112"/>
  </r>
  <r>
    <d v="2026-05-14T00:00:00"/>
    <s v="May"/>
    <x v="6"/>
    <x v="15"/>
    <s v="Gaming expense"/>
    <x v="1"/>
    <x v="1"/>
    <n v="981"/>
  </r>
  <r>
    <d v="2026-05-14T00:00:00"/>
    <s v="May"/>
    <x v="6"/>
    <x v="7"/>
    <s v="Movies expense"/>
    <x v="1"/>
    <x v="1"/>
    <n v="1274"/>
  </r>
  <r>
    <d v="2026-05-14T00:00:00"/>
    <s v="May"/>
    <x v="4"/>
    <x v="12"/>
    <s v="Internet expense"/>
    <x v="1"/>
    <x v="3"/>
    <n v="266"/>
  </r>
  <r>
    <d v="2026-05-14T00:00:00"/>
    <s v="May"/>
    <x v="3"/>
    <x v="14"/>
    <s v="Clothing expense"/>
    <x v="1"/>
    <x v="1"/>
    <n v="568"/>
  </r>
  <r>
    <d v="2026-05-15T00:00:00"/>
    <s v="May"/>
    <x v="4"/>
    <x v="4"/>
    <s v="Electricity expense"/>
    <x v="1"/>
    <x v="3"/>
    <n v="761"/>
  </r>
  <r>
    <d v="2026-05-15T00:00:00"/>
    <s v="May"/>
    <x v="2"/>
    <x v="11"/>
    <s v="Fuel expense"/>
    <x v="1"/>
    <x v="2"/>
    <n v="516"/>
  </r>
  <r>
    <d v="2026-05-15T00:00:00"/>
    <s v="May"/>
    <x v="1"/>
    <x v="10"/>
    <s v="Dining expense"/>
    <x v="1"/>
    <x v="3"/>
    <n v="1483"/>
  </r>
  <r>
    <d v="2026-05-15T00:00:00"/>
    <s v="May"/>
    <x v="1"/>
    <x v="1"/>
    <s v="Groceries expense"/>
    <x v="1"/>
    <x v="1"/>
    <n v="1035"/>
  </r>
  <r>
    <d v="2026-05-15T00:00:00"/>
    <s v="May"/>
    <x v="2"/>
    <x v="11"/>
    <s v="Fuel expense"/>
    <x v="1"/>
    <x v="1"/>
    <n v="559"/>
  </r>
  <r>
    <d v="2026-05-15T00:00:00"/>
    <s v="May"/>
    <x v="1"/>
    <x v="10"/>
    <s v="Dining expense"/>
    <x v="1"/>
    <x v="2"/>
    <n v="726"/>
  </r>
  <r>
    <d v="2026-05-16T00:00:00"/>
    <s v="May"/>
    <x v="4"/>
    <x v="4"/>
    <s v="Electricity expense"/>
    <x v="1"/>
    <x v="1"/>
    <n v="607"/>
  </r>
  <r>
    <d v="2026-05-16T00:00:00"/>
    <s v="May"/>
    <x v="2"/>
    <x v="2"/>
    <s v="Public expense"/>
    <x v="1"/>
    <x v="2"/>
    <n v="873"/>
  </r>
  <r>
    <d v="2026-05-16T00:00:00"/>
    <s v="May"/>
    <x v="4"/>
    <x v="16"/>
    <s v="Water expense"/>
    <x v="1"/>
    <x v="3"/>
    <n v="274"/>
  </r>
  <r>
    <d v="2026-05-16T00:00:00"/>
    <s v="May"/>
    <x v="6"/>
    <x v="15"/>
    <s v="Gaming expense"/>
    <x v="1"/>
    <x v="2"/>
    <n v="1265"/>
  </r>
  <r>
    <d v="2026-05-16T00:00:00"/>
    <s v="May"/>
    <x v="3"/>
    <x v="3"/>
    <s v="Electronics expense"/>
    <x v="1"/>
    <x v="2"/>
    <n v="407"/>
  </r>
  <r>
    <d v="2026-05-16T00:00:00"/>
    <s v="May"/>
    <x v="4"/>
    <x v="4"/>
    <s v="Electricity expense"/>
    <x v="1"/>
    <x v="3"/>
    <n v="212"/>
  </r>
  <r>
    <d v="2026-05-17T00:00:00"/>
    <s v="May"/>
    <x v="1"/>
    <x v="17"/>
    <s v="Online expense"/>
    <x v="1"/>
    <x v="1"/>
    <n v="374"/>
  </r>
  <r>
    <d v="2026-05-17T00:00:00"/>
    <s v="May"/>
    <x v="3"/>
    <x v="3"/>
    <s v="Electronics expense"/>
    <x v="1"/>
    <x v="3"/>
    <n v="1277"/>
  </r>
  <r>
    <d v="2026-05-17T00:00:00"/>
    <s v="May"/>
    <x v="4"/>
    <x v="16"/>
    <s v="Water expense"/>
    <x v="1"/>
    <x v="2"/>
    <n v="1069"/>
  </r>
  <r>
    <d v="2026-05-18T00:00:00"/>
    <s v="May"/>
    <x v="6"/>
    <x v="13"/>
    <s v="Music expense"/>
    <x v="1"/>
    <x v="3"/>
    <n v="119"/>
  </r>
  <r>
    <d v="2026-05-18T00:00:00"/>
    <s v="May"/>
    <x v="6"/>
    <x v="7"/>
    <s v="Movies expense"/>
    <x v="1"/>
    <x v="3"/>
    <n v="1155"/>
  </r>
  <r>
    <d v="2026-05-18T00:00:00"/>
    <s v="May"/>
    <x v="1"/>
    <x v="10"/>
    <s v="Dining expense"/>
    <x v="1"/>
    <x v="3"/>
    <n v="1427"/>
  </r>
  <r>
    <d v="2026-05-18T00:00:00"/>
    <s v="May"/>
    <x v="1"/>
    <x v="1"/>
    <s v="Groceries expense"/>
    <x v="1"/>
    <x v="2"/>
    <n v="1319"/>
  </r>
  <r>
    <d v="2026-05-18T00:00:00"/>
    <s v="May"/>
    <x v="4"/>
    <x v="4"/>
    <s v="Electricity expense"/>
    <x v="1"/>
    <x v="1"/>
    <n v="1345"/>
  </r>
  <r>
    <d v="2026-05-19T00:00:00"/>
    <s v="May"/>
    <x v="4"/>
    <x v="4"/>
    <s v="Electricity expense"/>
    <x v="1"/>
    <x v="2"/>
    <n v="1464"/>
  </r>
  <r>
    <d v="2026-05-19T00:00:00"/>
    <s v="May"/>
    <x v="6"/>
    <x v="13"/>
    <s v="Music expense"/>
    <x v="1"/>
    <x v="2"/>
    <n v="697"/>
  </r>
  <r>
    <d v="2026-05-19T00:00:00"/>
    <s v="May"/>
    <x v="4"/>
    <x v="16"/>
    <s v="Water expense"/>
    <x v="1"/>
    <x v="1"/>
    <n v="833"/>
  </r>
  <r>
    <d v="2026-05-19T00:00:00"/>
    <s v="May"/>
    <x v="4"/>
    <x v="12"/>
    <s v="Internet expense"/>
    <x v="1"/>
    <x v="1"/>
    <n v="173"/>
  </r>
  <r>
    <d v="2026-05-19T00:00:00"/>
    <s v="May"/>
    <x v="4"/>
    <x v="16"/>
    <s v="Water expense"/>
    <x v="1"/>
    <x v="2"/>
    <n v="84"/>
  </r>
  <r>
    <d v="2026-05-19T00:00:00"/>
    <s v="May"/>
    <x v="4"/>
    <x v="12"/>
    <s v="Internet expense"/>
    <x v="1"/>
    <x v="1"/>
    <n v="174"/>
  </r>
  <r>
    <d v="2026-05-19T00:00:00"/>
    <s v="May"/>
    <x v="4"/>
    <x v="4"/>
    <s v="Electricity expense"/>
    <x v="1"/>
    <x v="2"/>
    <n v="373"/>
  </r>
  <r>
    <d v="2026-05-20T00:00:00"/>
    <s v="May"/>
    <x v="4"/>
    <x v="16"/>
    <s v="Water expense"/>
    <x v="1"/>
    <x v="3"/>
    <n v="817"/>
  </r>
  <r>
    <d v="2026-05-20T00:00:00"/>
    <s v="May"/>
    <x v="2"/>
    <x v="2"/>
    <s v="Public expense"/>
    <x v="1"/>
    <x v="2"/>
    <n v="120"/>
  </r>
  <r>
    <d v="2026-05-20T00:00:00"/>
    <s v="May"/>
    <x v="3"/>
    <x v="3"/>
    <s v="Electronics expense"/>
    <x v="1"/>
    <x v="2"/>
    <n v="1343"/>
  </r>
  <r>
    <d v="2026-05-20T00:00:00"/>
    <s v="May"/>
    <x v="6"/>
    <x v="7"/>
    <s v="Movies expense"/>
    <x v="1"/>
    <x v="1"/>
    <n v="576"/>
  </r>
  <r>
    <d v="2026-05-20T00:00:00"/>
    <s v="May"/>
    <x v="3"/>
    <x v="3"/>
    <s v="Electronics expense"/>
    <x v="1"/>
    <x v="1"/>
    <n v="752"/>
  </r>
  <r>
    <d v="2026-05-20T00:00:00"/>
    <s v="May"/>
    <x v="4"/>
    <x v="9"/>
    <s v="Mobile expense"/>
    <x v="1"/>
    <x v="1"/>
    <n v="271"/>
  </r>
  <r>
    <d v="2026-05-21T00:00:00"/>
    <s v="May"/>
    <x v="4"/>
    <x v="9"/>
    <s v="Mobile expense"/>
    <x v="1"/>
    <x v="2"/>
    <n v="1138"/>
  </r>
  <r>
    <d v="2026-05-21T00:00:00"/>
    <s v="May"/>
    <x v="2"/>
    <x v="8"/>
    <s v="Local expense"/>
    <x v="1"/>
    <x v="1"/>
    <n v="932"/>
  </r>
  <r>
    <d v="2026-05-21T00:00:00"/>
    <s v="May"/>
    <x v="4"/>
    <x v="9"/>
    <s v="Mobile expense"/>
    <x v="1"/>
    <x v="2"/>
    <n v="413"/>
  </r>
  <r>
    <d v="2026-05-21T00:00:00"/>
    <s v="May"/>
    <x v="6"/>
    <x v="15"/>
    <s v="Gaming expense"/>
    <x v="1"/>
    <x v="3"/>
    <n v="1041"/>
  </r>
  <r>
    <d v="2026-05-21T00:00:00"/>
    <s v="May"/>
    <x v="4"/>
    <x v="4"/>
    <s v="Electricity expense"/>
    <x v="1"/>
    <x v="3"/>
    <n v="685"/>
  </r>
  <r>
    <d v="2026-05-21T00:00:00"/>
    <s v="May"/>
    <x v="4"/>
    <x v="12"/>
    <s v="Internet expense"/>
    <x v="1"/>
    <x v="2"/>
    <n v="466"/>
  </r>
  <r>
    <d v="2026-05-22T00:00:00"/>
    <s v="May"/>
    <x v="2"/>
    <x v="8"/>
    <s v="Local expense"/>
    <x v="1"/>
    <x v="2"/>
    <n v="127"/>
  </r>
  <r>
    <d v="2026-05-22T00:00:00"/>
    <s v="May"/>
    <x v="6"/>
    <x v="15"/>
    <s v="Gaming expense"/>
    <x v="1"/>
    <x v="2"/>
    <n v="646"/>
  </r>
  <r>
    <d v="2026-05-22T00:00:00"/>
    <s v="May"/>
    <x v="1"/>
    <x v="17"/>
    <s v="Online expense"/>
    <x v="1"/>
    <x v="3"/>
    <n v="630"/>
  </r>
  <r>
    <d v="2026-05-22T00:00:00"/>
    <s v="May"/>
    <x v="4"/>
    <x v="12"/>
    <s v="Internet expense"/>
    <x v="1"/>
    <x v="1"/>
    <n v="426"/>
  </r>
  <r>
    <d v="2026-05-22T00:00:00"/>
    <s v="May"/>
    <x v="4"/>
    <x v="16"/>
    <s v="Water expense"/>
    <x v="1"/>
    <x v="1"/>
    <n v="566"/>
  </r>
  <r>
    <d v="2026-05-22T00:00:00"/>
    <s v="May"/>
    <x v="2"/>
    <x v="11"/>
    <s v="Fuel expense"/>
    <x v="1"/>
    <x v="1"/>
    <n v="1221"/>
  </r>
  <r>
    <d v="2026-05-23T00:00:00"/>
    <s v="May"/>
    <x v="1"/>
    <x v="5"/>
    <s v="Snacks expense"/>
    <x v="1"/>
    <x v="2"/>
    <n v="1225"/>
  </r>
  <r>
    <d v="2026-05-23T00:00:00"/>
    <s v="May"/>
    <x v="4"/>
    <x v="9"/>
    <s v="Mobile expense"/>
    <x v="1"/>
    <x v="3"/>
    <n v="1061"/>
  </r>
  <r>
    <d v="2026-05-23T00:00:00"/>
    <s v="May"/>
    <x v="3"/>
    <x v="3"/>
    <s v="Electronics expense"/>
    <x v="1"/>
    <x v="3"/>
    <n v="961"/>
  </r>
  <r>
    <d v="2026-05-24T00:00:00"/>
    <s v="May"/>
    <x v="4"/>
    <x v="4"/>
    <s v="Electricity expense"/>
    <x v="1"/>
    <x v="1"/>
    <n v="981"/>
  </r>
  <r>
    <d v="2026-05-24T00:00:00"/>
    <s v="May"/>
    <x v="3"/>
    <x v="3"/>
    <s v="Electronics expense"/>
    <x v="1"/>
    <x v="1"/>
    <n v="615"/>
  </r>
  <r>
    <d v="2026-05-24T00:00:00"/>
    <s v="May"/>
    <x v="1"/>
    <x v="10"/>
    <s v="Dining expense"/>
    <x v="1"/>
    <x v="3"/>
    <n v="1294"/>
  </r>
  <r>
    <d v="2026-05-24T00:00:00"/>
    <s v="May"/>
    <x v="1"/>
    <x v="5"/>
    <s v="Snacks expense"/>
    <x v="1"/>
    <x v="1"/>
    <n v="891"/>
  </r>
  <r>
    <d v="2026-05-24T00:00:00"/>
    <s v="May"/>
    <x v="6"/>
    <x v="13"/>
    <s v="Music expense"/>
    <x v="1"/>
    <x v="3"/>
    <n v="1458"/>
  </r>
  <r>
    <d v="2026-05-25T00:00:00"/>
    <s v="May"/>
    <x v="1"/>
    <x v="5"/>
    <s v="Snacks expense"/>
    <x v="1"/>
    <x v="1"/>
    <n v="912"/>
  </r>
  <r>
    <d v="2026-05-25T00:00:00"/>
    <s v="May"/>
    <x v="1"/>
    <x v="5"/>
    <s v="Snacks expense"/>
    <x v="1"/>
    <x v="3"/>
    <n v="1203"/>
  </r>
  <r>
    <d v="2026-05-25T00:00:00"/>
    <s v="May"/>
    <x v="4"/>
    <x v="4"/>
    <s v="Electricity expense"/>
    <x v="1"/>
    <x v="3"/>
    <n v="958"/>
  </r>
  <r>
    <d v="2026-05-25T00:00:00"/>
    <s v="May"/>
    <x v="6"/>
    <x v="13"/>
    <s v="Music expense"/>
    <x v="1"/>
    <x v="3"/>
    <n v="595"/>
  </r>
  <r>
    <d v="2026-05-25T00:00:00"/>
    <s v="May"/>
    <x v="6"/>
    <x v="15"/>
    <s v="Gaming expense"/>
    <x v="1"/>
    <x v="2"/>
    <n v="100"/>
  </r>
  <r>
    <d v="2026-05-26T00:00:00"/>
    <s v="May"/>
    <x v="4"/>
    <x v="4"/>
    <s v="Electricity expense"/>
    <x v="1"/>
    <x v="2"/>
    <n v="877"/>
  </r>
  <r>
    <d v="2026-05-26T00:00:00"/>
    <s v="May"/>
    <x v="6"/>
    <x v="7"/>
    <s v="Movies expense"/>
    <x v="1"/>
    <x v="1"/>
    <n v="1307"/>
  </r>
  <r>
    <d v="2026-05-26T00:00:00"/>
    <s v="May"/>
    <x v="4"/>
    <x v="12"/>
    <s v="Internet expense"/>
    <x v="1"/>
    <x v="3"/>
    <n v="1302"/>
  </r>
  <r>
    <d v="2026-05-26T00:00:00"/>
    <s v="May"/>
    <x v="4"/>
    <x v="4"/>
    <s v="Electricity expense"/>
    <x v="1"/>
    <x v="2"/>
    <n v="1237"/>
  </r>
  <r>
    <d v="2026-05-26T00:00:00"/>
    <s v="May"/>
    <x v="6"/>
    <x v="13"/>
    <s v="Music expense"/>
    <x v="1"/>
    <x v="1"/>
    <n v="562"/>
  </r>
  <r>
    <d v="2026-05-27T00:00:00"/>
    <s v="May"/>
    <x v="6"/>
    <x v="13"/>
    <s v="Music expense"/>
    <x v="1"/>
    <x v="1"/>
    <n v="529"/>
  </r>
  <r>
    <d v="2026-05-27T00:00:00"/>
    <s v="May"/>
    <x v="1"/>
    <x v="5"/>
    <s v="Snacks expense"/>
    <x v="1"/>
    <x v="2"/>
    <n v="1221"/>
  </r>
  <r>
    <d v="2026-05-27T00:00:00"/>
    <s v="May"/>
    <x v="4"/>
    <x v="12"/>
    <s v="Internet expense"/>
    <x v="1"/>
    <x v="2"/>
    <n v="848"/>
  </r>
  <r>
    <d v="2026-05-28T00:00:00"/>
    <s v="May"/>
    <x v="2"/>
    <x v="8"/>
    <s v="Local expense"/>
    <x v="1"/>
    <x v="3"/>
    <n v="629"/>
  </r>
  <r>
    <d v="2026-05-28T00:00:00"/>
    <s v="May"/>
    <x v="6"/>
    <x v="13"/>
    <s v="Music expense"/>
    <x v="1"/>
    <x v="2"/>
    <n v="247"/>
  </r>
  <r>
    <d v="2026-05-28T00:00:00"/>
    <s v="May"/>
    <x v="4"/>
    <x v="4"/>
    <s v="Electricity expense"/>
    <x v="1"/>
    <x v="3"/>
    <n v="763"/>
  </r>
  <r>
    <d v="2026-05-28T00:00:00"/>
    <s v="May"/>
    <x v="6"/>
    <x v="15"/>
    <s v="Gaming expense"/>
    <x v="1"/>
    <x v="3"/>
    <n v="482"/>
  </r>
  <r>
    <d v="2026-05-28T00:00:00"/>
    <s v="May"/>
    <x v="2"/>
    <x v="2"/>
    <s v="Public expense"/>
    <x v="1"/>
    <x v="2"/>
    <n v="1153"/>
  </r>
  <r>
    <d v="2026-05-29T00:00:00"/>
    <s v="May"/>
    <x v="3"/>
    <x v="14"/>
    <s v="Clothing expense"/>
    <x v="1"/>
    <x v="2"/>
    <n v="1135"/>
  </r>
  <r>
    <d v="2026-05-29T00:00:00"/>
    <s v="May"/>
    <x v="1"/>
    <x v="1"/>
    <s v="Groceries expense"/>
    <x v="1"/>
    <x v="3"/>
    <n v="1414"/>
  </r>
  <r>
    <d v="2026-05-29T00:00:00"/>
    <s v="May"/>
    <x v="1"/>
    <x v="1"/>
    <s v="Groceries expense"/>
    <x v="1"/>
    <x v="3"/>
    <n v="642"/>
  </r>
  <r>
    <d v="2026-05-29T00:00:00"/>
    <s v="May"/>
    <x v="1"/>
    <x v="10"/>
    <s v="Dining expense"/>
    <x v="1"/>
    <x v="1"/>
    <n v="1118"/>
  </r>
  <r>
    <d v="2026-05-29T00:00:00"/>
    <s v="May"/>
    <x v="2"/>
    <x v="11"/>
    <s v="Fuel expense"/>
    <x v="1"/>
    <x v="3"/>
    <n v="702"/>
  </r>
  <r>
    <d v="2026-05-29T00:00:00"/>
    <s v="May"/>
    <x v="6"/>
    <x v="13"/>
    <s v="Music expense"/>
    <x v="1"/>
    <x v="3"/>
    <n v="960"/>
  </r>
  <r>
    <d v="2026-05-29T00:00:00"/>
    <s v="May"/>
    <x v="3"/>
    <x v="3"/>
    <s v="Electronics expense"/>
    <x v="1"/>
    <x v="2"/>
    <n v="841"/>
  </r>
  <r>
    <d v="2026-05-30T00:00:00"/>
    <s v="May"/>
    <x v="6"/>
    <x v="13"/>
    <s v="Music expense"/>
    <x v="1"/>
    <x v="2"/>
    <n v="1208"/>
  </r>
  <r>
    <d v="2026-05-30T00:00:00"/>
    <s v="May"/>
    <x v="1"/>
    <x v="17"/>
    <s v="Online expense"/>
    <x v="1"/>
    <x v="2"/>
    <n v="644"/>
  </r>
  <r>
    <d v="2026-05-30T00:00:00"/>
    <s v="May"/>
    <x v="2"/>
    <x v="11"/>
    <s v="Fuel expense"/>
    <x v="1"/>
    <x v="2"/>
    <n v="11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s v="May"/>
    <x v="0"/>
    <s v="Primary"/>
    <s v="Monthly Salary"/>
    <x v="0"/>
    <x v="0"/>
    <n v="150000"/>
    <x v="0"/>
    <x v="0"/>
  </r>
  <r>
    <x v="0"/>
    <s v="May"/>
    <x v="1"/>
    <s v="Groceries"/>
    <s v="Groceries expense"/>
    <x v="1"/>
    <x v="1"/>
    <n v="1180"/>
    <x v="0"/>
    <x v="0"/>
  </r>
  <r>
    <x v="0"/>
    <s v="May"/>
    <x v="2"/>
    <s v="Public"/>
    <s v="Public expense"/>
    <x v="1"/>
    <x v="1"/>
    <n v="650"/>
    <x v="0"/>
    <x v="0"/>
  </r>
  <r>
    <x v="0"/>
    <s v="May"/>
    <x v="3"/>
    <s v="Electronics"/>
    <s v="Electronics expense"/>
    <x v="1"/>
    <x v="2"/>
    <n v="700"/>
    <x v="0"/>
    <x v="0"/>
  </r>
  <r>
    <x v="0"/>
    <s v="May"/>
    <x v="4"/>
    <s v="Electricity"/>
    <s v="Electricity expense"/>
    <x v="1"/>
    <x v="2"/>
    <n v="1228"/>
    <x v="0"/>
    <x v="0"/>
  </r>
  <r>
    <x v="0"/>
    <s v="May"/>
    <x v="4"/>
    <s v="Electricity"/>
    <s v="Electricity expense"/>
    <x v="1"/>
    <x v="3"/>
    <n v="564"/>
    <x v="0"/>
    <x v="0"/>
  </r>
  <r>
    <x v="0"/>
    <s v="May"/>
    <x v="1"/>
    <s v="Snacks"/>
    <s v="Snacks expense"/>
    <x v="1"/>
    <x v="1"/>
    <n v="814"/>
    <x v="0"/>
    <x v="0"/>
  </r>
  <r>
    <x v="1"/>
    <s v="May"/>
    <x v="5"/>
    <s v="Housing"/>
    <s v="Room Rent"/>
    <x v="1"/>
    <x v="2"/>
    <n v="6000"/>
    <x v="1"/>
    <x v="1"/>
  </r>
  <r>
    <x v="1"/>
    <s v="May"/>
    <x v="6"/>
    <s v="Movies"/>
    <s v="Movies expense"/>
    <x v="1"/>
    <x v="3"/>
    <n v="687"/>
    <x v="1"/>
    <x v="1"/>
  </r>
  <r>
    <x v="1"/>
    <s v="May"/>
    <x v="2"/>
    <s v="Local"/>
    <s v="Local expense"/>
    <x v="1"/>
    <x v="3"/>
    <n v="401"/>
    <x v="1"/>
    <x v="1"/>
  </r>
  <r>
    <x v="1"/>
    <s v="May"/>
    <x v="3"/>
    <s v="Electronics"/>
    <s v="Electronics expense"/>
    <x v="1"/>
    <x v="3"/>
    <n v="568"/>
    <x v="1"/>
    <x v="1"/>
  </r>
  <r>
    <x v="1"/>
    <s v="May"/>
    <x v="3"/>
    <s v="Electronics"/>
    <s v="Electronics expense"/>
    <x v="1"/>
    <x v="3"/>
    <n v="1110"/>
    <x v="1"/>
    <x v="1"/>
  </r>
  <r>
    <x v="1"/>
    <s v="May"/>
    <x v="3"/>
    <s v="Electronics"/>
    <s v="Electronics expense"/>
    <x v="1"/>
    <x v="3"/>
    <n v="216"/>
    <x v="1"/>
    <x v="1"/>
  </r>
  <r>
    <x v="2"/>
    <s v="May"/>
    <x v="2"/>
    <s v="Public"/>
    <s v="Public expense"/>
    <x v="1"/>
    <x v="2"/>
    <n v="782"/>
    <x v="2"/>
    <x v="1"/>
  </r>
  <r>
    <x v="2"/>
    <s v="May"/>
    <x v="4"/>
    <s v="Mobile"/>
    <s v="Mobile expense"/>
    <x v="1"/>
    <x v="2"/>
    <n v="1311"/>
    <x v="2"/>
    <x v="1"/>
  </r>
  <r>
    <x v="2"/>
    <s v="May"/>
    <x v="1"/>
    <s v="Dining"/>
    <s v="Dining expense"/>
    <x v="1"/>
    <x v="2"/>
    <n v="1357"/>
    <x v="2"/>
    <x v="1"/>
  </r>
  <r>
    <x v="2"/>
    <s v="May"/>
    <x v="1"/>
    <s v="Dining"/>
    <s v="Dining expense"/>
    <x v="1"/>
    <x v="3"/>
    <n v="958"/>
    <x v="2"/>
    <x v="1"/>
  </r>
  <r>
    <x v="2"/>
    <s v="May"/>
    <x v="2"/>
    <s v="Fuel"/>
    <s v="Fuel expense"/>
    <x v="1"/>
    <x v="3"/>
    <n v="468"/>
    <x v="2"/>
    <x v="1"/>
  </r>
  <r>
    <x v="3"/>
    <s v="May"/>
    <x v="4"/>
    <s v="Electricity"/>
    <s v="Electricity expense"/>
    <x v="1"/>
    <x v="2"/>
    <n v="561"/>
    <x v="3"/>
    <x v="0"/>
  </r>
  <r>
    <x v="3"/>
    <s v="May"/>
    <x v="4"/>
    <s v="Internet"/>
    <s v="Internet expense"/>
    <x v="1"/>
    <x v="2"/>
    <n v="1087"/>
    <x v="3"/>
    <x v="0"/>
  </r>
  <r>
    <x v="3"/>
    <s v="May"/>
    <x v="1"/>
    <s v="Dining"/>
    <s v="Dining expense"/>
    <x v="1"/>
    <x v="1"/>
    <n v="925"/>
    <x v="3"/>
    <x v="0"/>
  </r>
  <r>
    <x v="3"/>
    <s v="May"/>
    <x v="6"/>
    <s v="Music"/>
    <s v="Music expense"/>
    <x v="1"/>
    <x v="2"/>
    <n v="486"/>
    <x v="3"/>
    <x v="0"/>
  </r>
  <r>
    <x v="3"/>
    <s v="May"/>
    <x v="1"/>
    <s v="Groceries"/>
    <s v="Groceries expense"/>
    <x v="1"/>
    <x v="2"/>
    <n v="443"/>
    <x v="3"/>
    <x v="0"/>
  </r>
  <r>
    <x v="4"/>
    <s v="May"/>
    <x v="3"/>
    <s v="Clothing"/>
    <s v="Clothing expense"/>
    <x v="1"/>
    <x v="3"/>
    <n v="409"/>
    <x v="4"/>
    <x v="0"/>
  </r>
  <r>
    <x v="4"/>
    <s v="May"/>
    <x v="4"/>
    <s v="Internet"/>
    <s v="Internet expense"/>
    <x v="1"/>
    <x v="1"/>
    <n v="1407"/>
    <x v="4"/>
    <x v="0"/>
  </r>
  <r>
    <x v="4"/>
    <s v="May"/>
    <x v="1"/>
    <s v="Dining"/>
    <s v="Dining expense"/>
    <x v="1"/>
    <x v="2"/>
    <n v="556"/>
    <x v="4"/>
    <x v="0"/>
  </r>
  <r>
    <x v="4"/>
    <s v="May"/>
    <x v="6"/>
    <s v="Gaming"/>
    <s v="Gaming expense"/>
    <x v="1"/>
    <x v="3"/>
    <n v="1038"/>
    <x v="4"/>
    <x v="0"/>
  </r>
  <r>
    <x v="4"/>
    <s v="May"/>
    <x v="2"/>
    <s v="Fuel"/>
    <s v="Fuel expense"/>
    <x v="1"/>
    <x v="1"/>
    <n v="1467"/>
    <x v="4"/>
    <x v="0"/>
  </r>
  <r>
    <x v="4"/>
    <s v="May"/>
    <x v="1"/>
    <s v="Groceries"/>
    <s v="Groceries expense"/>
    <x v="1"/>
    <x v="1"/>
    <n v="1482"/>
    <x v="4"/>
    <x v="0"/>
  </r>
  <r>
    <x v="5"/>
    <s v="May"/>
    <x v="3"/>
    <s v="Clothing"/>
    <s v="Clothing expense"/>
    <x v="1"/>
    <x v="2"/>
    <n v="687"/>
    <x v="5"/>
    <x v="0"/>
  </r>
  <r>
    <x v="5"/>
    <s v="May"/>
    <x v="1"/>
    <s v="Groceries"/>
    <s v="Groceries expense"/>
    <x v="1"/>
    <x v="2"/>
    <n v="1012"/>
    <x v="5"/>
    <x v="0"/>
  </r>
  <r>
    <x v="5"/>
    <s v="May"/>
    <x v="1"/>
    <s v="Snacks"/>
    <s v="Snacks expense"/>
    <x v="1"/>
    <x v="2"/>
    <n v="1350"/>
    <x v="5"/>
    <x v="0"/>
  </r>
  <r>
    <x v="5"/>
    <s v="May"/>
    <x v="6"/>
    <s v="Movies"/>
    <s v="Movies expense"/>
    <x v="1"/>
    <x v="3"/>
    <n v="1133"/>
    <x v="5"/>
    <x v="0"/>
  </r>
  <r>
    <x v="6"/>
    <s v="May"/>
    <x v="1"/>
    <s v="Dining"/>
    <s v="Dining expense"/>
    <x v="1"/>
    <x v="2"/>
    <n v="1250"/>
    <x v="6"/>
    <x v="0"/>
  </r>
  <r>
    <x v="6"/>
    <s v="May"/>
    <x v="6"/>
    <s v="Music"/>
    <s v="Music expense"/>
    <x v="1"/>
    <x v="3"/>
    <n v="733"/>
    <x v="6"/>
    <x v="0"/>
  </r>
  <r>
    <x v="6"/>
    <s v="May"/>
    <x v="4"/>
    <s v="Water"/>
    <s v="Water expense"/>
    <x v="1"/>
    <x v="3"/>
    <n v="1109"/>
    <x v="6"/>
    <x v="0"/>
  </r>
  <r>
    <x v="6"/>
    <s v="May"/>
    <x v="4"/>
    <s v="Electricity"/>
    <s v="Electricity expense"/>
    <x v="1"/>
    <x v="3"/>
    <n v="1072"/>
    <x v="6"/>
    <x v="0"/>
  </r>
  <r>
    <x v="7"/>
    <s v="May"/>
    <x v="6"/>
    <s v="Movies"/>
    <s v="Movies expense"/>
    <x v="1"/>
    <x v="2"/>
    <n v="327"/>
    <x v="0"/>
    <x v="0"/>
  </r>
  <r>
    <x v="7"/>
    <s v="May"/>
    <x v="1"/>
    <s v="Dining"/>
    <s v="Dining expense"/>
    <x v="1"/>
    <x v="3"/>
    <n v="456"/>
    <x v="0"/>
    <x v="0"/>
  </r>
  <r>
    <x v="7"/>
    <s v="May"/>
    <x v="6"/>
    <s v="Gaming"/>
    <s v="Gaming expense"/>
    <x v="1"/>
    <x v="1"/>
    <n v="701"/>
    <x v="0"/>
    <x v="0"/>
  </r>
  <r>
    <x v="8"/>
    <s v="May"/>
    <x v="6"/>
    <s v="Music"/>
    <s v="Music expense"/>
    <x v="1"/>
    <x v="1"/>
    <n v="1416"/>
    <x v="1"/>
    <x v="1"/>
  </r>
  <r>
    <x v="8"/>
    <s v="May"/>
    <x v="4"/>
    <s v="Internet"/>
    <s v="Internet expense"/>
    <x v="1"/>
    <x v="2"/>
    <n v="576"/>
    <x v="1"/>
    <x v="1"/>
  </r>
  <r>
    <x v="8"/>
    <s v="May"/>
    <x v="3"/>
    <s v="Electronics"/>
    <s v="Electronics expense"/>
    <x v="1"/>
    <x v="1"/>
    <n v="731"/>
    <x v="1"/>
    <x v="1"/>
  </r>
  <r>
    <x v="8"/>
    <s v="May"/>
    <x v="6"/>
    <s v="Gaming"/>
    <s v="Gaming expense"/>
    <x v="1"/>
    <x v="2"/>
    <n v="286"/>
    <x v="1"/>
    <x v="1"/>
  </r>
  <r>
    <x v="8"/>
    <s v="May"/>
    <x v="1"/>
    <s v="Online"/>
    <s v="Online expense"/>
    <x v="1"/>
    <x v="2"/>
    <n v="1145"/>
    <x v="1"/>
    <x v="1"/>
  </r>
  <r>
    <x v="9"/>
    <s v="May"/>
    <x v="1"/>
    <s v="Online"/>
    <s v="Online expense"/>
    <x v="1"/>
    <x v="3"/>
    <n v="1165"/>
    <x v="2"/>
    <x v="1"/>
  </r>
  <r>
    <x v="9"/>
    <s v="May"/>
    <x v="1"/>
    <s v="Snacks"/>
    <s v="Snacks expense"/>
    <x v="1"/>
    <x v="2"/>
    <n v="962"/>
    <x v="2"/>
    <x v="1"/>
  </r>
  <r>
    <x v="9"/>
    <s v="May"/>
    <x v="6"/>
    <s v="Movies"/>
    <s v="Movies expense"/>
    <x v="1"/>
    <x v="1"/>
    <n v="1087"/>
    <x v="2"/>
    <x v="1"/>
  </r>
  <r>
    <x v="9"/>
    <s v="May"/>
    <x v="1"/>
    <s v="Dining"/>
    <s v="Dining expense"/>
    <x v="1"/>
    <x v="2"/>
    <n v="895"/>
    <x v="2"/>
    <x v="1"/>
  </r>
  <r>
    <x v="10"/>
    <s v="May"/>
    <x v="6"/>
    <s v="Music"/>
    <s v="Music expense"/>
    <x v="1"/>
    <x v="1"/>
    <n v="840"/>
    <x v="3"/>
    <x v="0"/>
  </r>
  <r>
    <x v="10"/>
    <s v="May"/>
    <x v="2"/>
    <s v="Fuel"/>
    <s v="Fuel expense"/>
    <x v="1"/>
    <x v="2"/>
    <n v="694"/>
    <x v="3"/>
    <x v="0"/>
  </r>
  <r>
    <x v="10"/>
    <s v="May"/>
    <x v="1"/>
    <s v="Snacks"/>
    <s v="Snacks expense"/>
    <x v="1"/>
    <x v="2"/>
    <n v="1225"/>
    <x v="3"/>
    <x v="0"/>
  </r>
  <r>
    <x v="11"/>
    <s v="May"/>
    <x v="4"/>
    <s v="Internet"/>
    <s v="Internet expense"/>
    <x v="1"/>
    <x v="1"/>
    <n v="609"/>
    <x v="4"/>
    <x v="0"/>
  </r>
  <r>
    <x v="11"/>
    <s v="May"/>
    <x v="1"/>
    <s v="Groceries"/>
    <s v="Groceries expense"/>
    <x v="1"/>
    <x v="2"/>
    <n v="910"/>
    <x v="4"/>
    <x v="0"/>
  </r>
  <r>
    <x v="11"/>
    <s v="May"/>
    <x v="6"/>
    <s v="Gaming"/>
    <s v="Gaming expense"/>
    <x v="1"/>
    <x v="1"/>
    <n v="1110"/>
    <x v="4"/>
    <x v="0"/>
  </r>
  <r>
    <x v="11"/>
    <s v="May"/>
    <x v="2"/>
    <s v="Fuel"/>
    <s v="Fuel expense"/>
    <x v="1"/>
    <x v="3"/>
    <n v="1142"/>
    <x v="4"/>
    <x v="0"/>
  </r>
  <r>
    <x v="11"/>
    <s v="May"/>
    <x v="1"/>
    <s v="Snacks"/>
    <s v="Snacks expense"/>
    <x v="1"/>
    <x v="3"/>
    <n v="1136"/>
    <x v="4"/>
    <x v="0"/>
  </r>
  <r>
    <x v="11"/>
    <s v="May"/>
    <x v="1"/>
    <s v="Online"/>
    <s v="Online expense"/>
    <x v="1"/>
    <x v="3"/>
    <n v="213"/>
    <x v="4"/>
    <x v="0"/>
  </r>
  <r>
    <x v="12"/>
    <s v="May"/>
    <x v="2"/>
    <s v="Public"/>
    <s v="Public expense"/>
    <x v="1"/>
    <x v="3"/>
    <n v="476"/>
    <x v="5"/>
    <x v="0"/>
  </r>
  <r>
    <x v="12"/>
    <s v="May"/>
    <x v="2"/>
    <s v="Public"/>
    <s v="Public expense"/>
    <x v="1"/>
    <x v="3"/>
    <n v="1256"/>
    <x v="5"/>
    <x v="0"/>
  </r>
  <r>
    <x v="12"/>
    <s v="May"/>
    <x v="4"/>
    <s v="Electricity"/>
    <s v="Electricity expense"/>
    <x v="1"/>
    <x v="2"/>
    <n v="200"/>
    <x v="5"/>
    <x v="0"/>
  </r>
  <r>
    <x v="12"/>
    <s v="May"/>
    <x v="1"/>
    <s v="Groceries"/>
    <s v="Groceries expense"/>
    <x v="1"/>
    <x v="3"/>
    <n v="718"/>
    <x v="5"/>
    <x v="0"/>
  </r>
  <r>
    <x v="12"/>
    <s v="May"/>
    <x v="1"/>
    <s v="Dining"/>
    <s v="Dining expense"/>
    <x v="1"/>
    <x v="2"/>
    <n v="1030"/>
    <x v="5"/>
    <x v="0"/>
  </r>
  <r>
    <x v="13"/>
    <s v="May"/>
    <x v="4"/>
    <s v="Internet"/>
    <s v="Internet expense"/>
    <x v="1"/>
    <x v="2"/>
    <n v="1112"/>
    <x v="6"/>
    <x v="0"/>
  </r>
  <r>
    <x v="13"/>
    <s v="May"/>
    <x v="6"/>
    <s v="Gaming"/>
    <s v="Gaming expense"/>
    <x v="1"/>
    <x v="1"/>
    <n v="981"/>
    <x v="6"/>
    <x v="0"/>
  </r>
  <r>
    <x v="13"/>
    <s v="May"/>
    <x v="6"/>
    <s v="Movies"/>
    <s v="Movies expense"/>
    <x v="1"/>
    <x v="1"/>
    <n v="1274"/>
    <x v="6"/>
    <x v="0"/>
  </r>
  <r>
    <x v="13"/>
    <s v="May"/>
    <x v="4"/>
    <s v="Internet"/>
    <s v="Internet expense"/>
    <x v="1"/>
    <x v="3"/>
    <n v="266"/>
    <x v="6"/>
    <x v="0"/>
  </r>
  <r>
    <x v="13"/>
    <s v="May"/>
    <x v="3"/>
    <s v="Clothing"/>
    <s v="Clothing expense"/>
    <x v="1"/>
    <x v="1"/>
    <n v="568"/>
    <x v="6"/>
    <x v="0"/>
  </r>
  <r>
    <x v="14"/>
    <s v="May"/>
    <x v="4"/>
    <s v="Electricity"/>
    <s v="Electricity expense"/>
    <x v="1"/>
    <x v="3"/>
    <n v="761"/>
    <x v="0"/>
    <x v="0"/>
  </r>
  <r>
    <x v="14"/>
    <s v="May"/>
    <x v="2"/>
    <s v="Fuel"/>
    <s v="Fuel expense"/>
    <x v="1"/>
    <x v="2"/>
    <n v="516"/>
    <x v="0"/>
    <x v="0"/>
  </r>
  <r>
    <x v="14"/>
    <s v="May"/>
    <x v="1"/>
    <s v="Dining"/>
    <s v="Dining expense"/>
    <x v="1"/>
    <x v="3"/>
    <n v="1483"/>
    <x v="0"/>
    <x v="0"/>
  </r>
  <r>
    <x v="14"/>
    <s v="May"/>
    <x v="1"/>
    <s v="Groceries"/>
    <s v="Groceries expense"/>
    <x v="1"/>
    <x v="1"/>
    <n v="1035"/>
    <x v="0"/>
    <x v="0"/>
  </r>
  <r>
    <x v="14"/>
    <s v="May"/>
    <x v="2"/>
    <s v="Fuel"/>
    <s v="Fuel expense"/>
    <x v="1"/>
    <x v="1"/>
    <n v="559"/>
    <x v="0"/>
    <x v="0"/>
  </r>
  <r>
    <x v="14"/>
    <s v="May"/>
    <x v="1"/>
    <s v="Dining"/>
    <s v="Dining expense"/>
    <x v="1"/>
    <x v="2"/>
    <n v="726"/>
    <x v="0"/>
    <x v="0"/>
  </r>
  <r>
    <x v="15"/>
    <s v="May"/>
    <x v="4"/>
    <s v="Electricity"/>
    <s v="Electricity expense"/>
    <x v="1"/>
    <x v="1"/>
    <n v="607"/>
    <x v="1"/>
    <x v="1"/>
  </r>
  <r>
    <x v="15"/>
    <s v="May"/>
    <x v="2"/>
    <s v="Public"/>
    <s v="Public expense"/>
    <x v="1"/>
    <x v="2"/>
    <n v="873"/>
    <x v="1"/>
    <x v="1"/>
  </r>
  <r>
    <x v="15"/>
    <s v="May"/>
    <x v="4"/>
    <s v="Water"/>
    <s v="Water expense"/>
    <x v="1"/>
    <x v="3"/>
    <n v="274"/>
    <x v="1"/>
    <x v="1"/>
  </r>
  <r>
    <x v="15"/>
    <s v="May"/>
    <x v="6"/>
    <s v="Gaming"/>
    <s v="Gaming expense"/>
    <x v="1"/>
    <x v="2"/>
    <n v="1265"/>
    <x v="1"/>
    <x v="1"/>
  </r>
  <r>
    <x v="15"/>
    <s v="May"/>
    <x v="3"/>
    <s v="Electronics"/>
    <s v="Electronics expense"/>
    <x v="1"/>
    <x v="2"/>
    <n v="407"/>
    <x v="1"/>
    <x v="1"/>
  </r>
  <r>
    <x v="15"/>
    <s v="May"/>
    <x v="4"/>
    <s v="Electricity"/>
    <s v="Electricity expense"/>
    <x v="1"/>
    <x v="3"/>
    <n v="212"/>
    <x v="1"/>
    <x v="1"/>
  </r>
  <r>
    <x v="16"/>
    <s v="May"/>
    <x v="1"/>
    <s v="Online"/>
    <s v="Online expense"/>
    <x v="1"/>
    <x v="1"/>
    <n v="374"/>
    <x v="2"/>
    <x v="1"/>
  </r>
  <r>
    <x v="16"/>
    <s v="May"/>
    <x v="3"/>
    <s v="Electronics"/>
    <s v="Electronics expense"/>
    <x v="1"/>
    <x v="3"/>
    <n v="1277"/>
    <x v="2"/>
    <x v="1"/>
  </r>
  <r>
    <x v="16"/>
    <s v="May"/>
    <x v="4"/>
    <s v="Water"/>
    <s v="Water expense"/>
    <x v="1"/>
    <x v="2"/>
    <n v="1069"/>
    <x v="2"/>
    <x v="1"/>
  </r>
  <r>
    <x v="17"/>
    <s v="May"/>
    <x v="6"/>
    <s v="Music"/>
    <s v="Music expense"/>
    <x v="1"/>
    <x v="3"/>
    <n v="119"/>
    <x v="3"/>
    <x v="0"/>
  </r>
  <r>
    <x v="17"/>
    <s v="May"/>
    <x v="6"/>
    <s v="Movies"/>
    <s v="Movies expense"/>
    <x v="1"/>
    <x v="3"/>
    <n v="1155"/>
    <x v="3"/>
    <x v="0"/>
  </r>
  <r>
    <x v="17"/>
    <s v="May"/>
    <x v="1"/>
    <s v="Dining"/>
    <s v="Dining expense"/>
    <x v="1"/>
    <x v="3"/>
    <n v="1427"/>
    <x v="3"/>
    <x v="0"/>
  </r>
  <r>
    <x v="17"/>
    <s v="May"/>
    <x v="1"/>
    <s v="Groceries"/>
    <s v="Groceries expense"/>
    <x v="1"/>
    <x v="2"/>
    <n v="1319"/>
    <x v="3"/>
    <x v="0"/>
  </r>
  <r>
    <x v="17"/>
    <s v="May"/>
    <x v="4"/>
    <s v="Electricity"/>
    <s v="Electricity expense"/>
    <x v="1"/>
    <x v="1"/>
    <n v="1345"/>
    <x v="3"/>
    <x v="0"/>
  </r>
  <r>
    <x v="18"/>
    <s v="May"/>
    <x v="4"/>
    <s v="Electricity"/>
    <s v="Electricity expense"/>
    <x v="1"/>
    <x v="2"/>
    <n v="1464"/>
    <x v="4"/>
    <x v="0"/>
  </r>
  <r>
    <x v="18"/>
    <s v="May"/>
    <x v="6"/>
    <s v="Music"/>
    <s v="Music expense"/>
    <x v="1"/>
    <x v="2"/>
    <n v="697"/>
    <x v="4"/>
    <x v="0"/>
  </r>
  <r>
    <x v="18"/>
    <s v="May"/>
    <x v="4"/>
    <s v="Water"/>
    <s v="Water expense"/>
    <x v="1"/>
    <x v="1"/>
    <n v="833"/>
    <x v="4"/>
    <x v="0"/>
  </r>
  <r>
    <x v="18"/>
    <s v="May"/>
    <x v="4"/>
    <s v="Internet"/>
    <s v="Internet expense"/>
    <x v="1"/>
    <x v="1"/>
    <n v="173"/>
    <x v="4"/>
    <x v="0"/>
  </r>
  <r>
    <x v="18"/>
    <s v="May"/>
    <x v="4"/>
    <s v="Water"/>
    <s v="Water expense"/>
    <x v="1"/>
    <x v="2"/>
    <n v="84"/>
    <x v="4"/>
    <x v="0"/>
  </r>
  <r>
    <x v="18"/>
    <s v="May"/>
    <x v="4"/>
    <s v="Internet"/>
    <s v="Internet expense"/>
    <x v="1"/>
    <x v="1"/>
    <n v="174"/>
    <x v="4"/>
    <x v="0"/>
  </r>
  <r>
    <x v="18"/>
    <s v="May"/>
    <x v="4"/>
    <s v="Electricity"/>
    <s v="Electricity expense"/>
    <x v="1"/>
    <x v="2"/>
    <n v="373"/>
    <x v="4"/>
    <x v="0"/>
  </r>
  <r>
    <x v="19"/>
    <s v="May"/>
    <x v="4"/>
    <s v="Water"/>
    <s v="Water expense"/>
    <x v="1"/>
    <x v="3"/>
    <n v="817"/>
    <x v="5"/>
    <x v="0"/>
  </r>
  <r>
    <x v="19"/>
    <s v="May"/>
    <x v="2"/>
    <s v="Public"/>
    <s v="Public expense"/>
    <x v="1"/>
    <x v="2"/>
    <n v="120"/>
    <x v="5"/>
    <x v="0"/>
  </r>
  <r>
    <x v="19"/>
    <s v="May"/>
    <x v="3"/>
    <s v="Electronics"/>
    <s v="Electronics expense"/>
    <x v="1"/>
    <x v="2"/>
    <n v="1343"/>
    <x v="5"/>
    <x v="0"/>
  </r>
  <r>
    <x v="19"/>
    <s v="May"/>
    <x v="6"/>
    <s v="Movies"/>
    <s v="Movies expense"/>
    <x v="1"/>
    <x v="1"/>
    <n v="576"/>
    <x v="5"/>
    <x v="0"/>
  </r>
  <r>
    <x v="19"/>
    <s v="May"/>
    <x v="3"/>
    <s v="Electronics"/>
    <s v="Electronics expense"/>
    <x v="1"/>
    <x v="1"/>
    <n v="752"/>
    <x v="5"/>
    <x v="0"/>
  </r>
  <r>
    <x v="19"/>
    <s v="May"/>
    <x v="4"/>
    <s v="Mobile"/>
    <s v="Mobile expense"/>
    <x v="1"/>
    <x v="1"/>
    <n v="271"/>
    <x v="5"/>
    <x v="0"/>
  </r>
  <r>
    <x v="20"/>
    <s v="May"/>
    <x v="4"/>
    <s v="Mobile"/>
    <s v="Mobile expense"/>
    <x v="1"/>
    <x v="2"/>
    <n v="1138"/>
    <x v="6"/>
    <x v="0"/>
  </r>
  <r>
    <x v="20"/>
    <s v="May"/>
    <x v="2"/>
    <s v="Local"/>
    <s v="Local expense"/>
    <x v="1"/>
    <x v="1"/>
    <n v="932"/>
    <x v="6"/>
    <x v="0"/>
  </r>
  <r>
    <x v="20"/>
    <s v="May"/>
    <x v="4"/>
    <s v="Mobile"/>
    <s v="Mobile expense"/>
    <x v="1"/>
    <x v="2"/>
    <n v="413"/>
    <x v="6"/>
    <x v="0"/>
  </r>
  <r>
    <x v="20"/>
    <s v="May"/>
    <x v="6"/>
    <s v="Gaming"/>
    <s v="Gaming expense"/>
    <x v="1"/>
    <x v="3"/>
    <n v="1041"/>
    <x v="6"/>
    <x v="0"/>
  </r>
  <r>
    <x v="20"/>
    <s v="May"/>
    <x v="4"/>
    <s v="Electricity"/>
    <s v="Electricity expense"/>
    <x v="1"/>
    <x v="3"/>
    <n v="685"/>
    <x v="6"/>
    <x v="0"/>
  </r>
  <r>
    <x v="20"/>
    <s v="May"/>
    <x v="4"/>
    <s v="Internet"/>
    <s v="Internet expense"/>
    <x v="1"/>
    <x v="2"/>
    <n v="466"/>
    <x v="6"/>
    <x v="0"/>
  </r>
  <r>
    <x v="21"/>
    <s v="May"/>
    <x v="2"/>
    <s v="Local"/>
    <s v="Local expense"/>
    <x v="1"/>
    <x v="2"/>
    <n v="127"/>
    <x v="0"/>
    <x v="0"/>
  </r>
  <r>
    <x v="21"/>
    <s v="May"/>
    <x v="6"/>
    <s v="Gaming"/>
    <s v="Gaming expense"/>
    <x v="1"/>
    <x v="2"/>
    <n v="646"/>
    <x v="0"/>
    <x v="0"/>
  </r>
  <r>
    <x v="21"/>
    <s v="May"/>
    <x v="1"/>
    <s v="Online"/>
    <s v="Online expense"/>
    <x v="1"/>
    <x v="3"/>
    <n v="630"/>
    <x v="0"/>
    <x v="0"/>
  </r>
  <r>
    <x v="21"/>
    <s v="May"/>
    <x v="4"/>
    <s v="Internet"/>
    <s v="Internet expense"/>
    <x v="1"/>
    <x v="1"/>
    <n v="426"/>
    <x v="0"/>
    <x v="0"/>
  </r>
  <r>
    <x v="21"/>
    <s v="May"/>
    <x v="4"/>
    <s v="Water"/>
    <s v="Water expense"/>
    <x v="1"/>
    <x v="1"/>
    <n v="566"/>
    <x v="0"/>
    <x v="0"/>
  </r>
  <r>
    <x v="21"/>
    <s v="May"/>
    <x v="2"/>
    <s v="Fuel"/>
    <s v="Fuel expense"/>
    <x v="1"/>
    <x v="1"/>
    <n v="1221"/>
    <x v="0"/>
    <x v="0"/>
  </r>
  <r>
    <x v="22"/>
    <s v="May"/>
    <x v="1"/>
    <s v="Snacks"/>
    <s v="Snacks expense"/>
    <x v="1"/>
    <x v="2"/>
    <n v="1225"/>
    <x v="1"/>
    <x v="1"/>
  </r>
  <r>
    <x v="22"/>
    <s v="May"/>
    <x v="4"/>
    <s v="Mobile"/>
    <s v="Mobile expense"/>
    <x v="1"/>
    <x v="3"/>
    <n v="1061"/>
    <x v="1"/>
    <x v="1"/>
  </r>
  <r>
    <x v="22"/>
    <s v="May"/>
    <x v="3"/>
    <s v="Electronics"/>
    <s v="Electronics expense"/>
    <x v="1"/>
    <x v="3"/>
    <n v="961"/>
    <x v="1"/>
    <x v="1"/>
  </r>
  <r>
    <x v="23"/>
    <s v="May"/>
    <x v="4"/>
    <s v="Electricity"/>
    <s v="Electricity expense"/>
    <x v="1"/>
    <x v="1"/>
    <n v="981"/>
    <x v="2"/>
    <x v="1"/>
  </r>
  <r>
    <x v="23"/>
    <s v="May"/>
    <x v="3"/>
    <s v="Electronics"/>
    <s v="Electronics expense"/>
    <x v="1"/>
    <x v="1"/>
    <n v="615"/>
    <x v="2"/>
    <x v="1"/>
  </r>
  <r>
    <x v="23"/>
    <s v="May"/>
    <x v="1"/>
    <s v="Dining"/>
    <s v="Dining expense"/>
    <x v="1"/>
    <x v="3"/>
    <n v="1294"/>
    <x v="2"/>
    <x v="1"/>
  </r>
  <r>
    <x v="23"/>
    <s v="May"/>
    <x v="1"/>
    <s v="Snacks"/>
    <s v="Snacks expense"/>
    <x v="1"/>
    <x v="1"/>
    <n v="891"/>
    <x v="2"/>
    <x v="1"/>
  </r>
  <r>
    <x v="23"/>
    <s v="May"/>
    <x v="6"/>
    <s v="Music"/>
    <s v="Music expense"/>
    <x v="1"/>
    <x v="3"/>
    <n v="1458"/>
    <x v="2"/>
    <x v="1"/>
  </r>
  <r>
    <x v="24"/>
    <s v="May"/>
    <x v="1"/>
    <s v="Snacks"/>
    <s v="Snacks expense"/>
    <x v="1"/>
    <x v="1"/>
    <n v="912"/>
    <x v="3"/>
    <x v="0"/>
  </r>
  <r>
    <x v="24"/>
    <s v="May"/>
    <x v="1"/>
    <s v="Snacks"/>
    <s v="Snacks expense"/>
    <x v="1"/>
    <x v="3"/>
    <n v="1203"/>
    <x v="3"/>
    <x v="0"/>
  </r>
  <r>
    <x v="24"/>
    <s v="May"/>
    <x v="4"/>
    <s v="Electricity"/>
    <s v="Electricity expense"/>
    <x v="1"/>
    <x v="3"/>
    <n v="958"/>
    <x v="3"/>
    <x v="0"/>
  </r>
  <r>
    <x v="24"/>
    <s v="May"/>
    <x v="6"/>
    <s v="Music"/>
    <s v="Music expense"/>
    <x v="1"/>
    <x v="3"/>
    <n v="595"/>
    <x v="3"/>
    <x v="0"/>
  </r>
  <r>
    <x v="24"/>
    <s v="May"/>
    <x v="6"/>
    <s v="Gaming"/>
    <s v="Gaming expense"/>
    <x v="1"/>
    <x v="2"/>
    <n v="100"/>
    <x v="3"/>
    <x v="0"/>
  </r>
  <r>
    <x v="25"/>
    <s v="May"/>
    <x v="4"/>
    <s v="Electricity"/>
    <s v="Electricity expense"/>
    <x v="1"/>
    <x v="2"/>
    <n v="877"/>
    <x v="4"/>
    <x v="0"/>
  </r>
  <r>
    <x v="25"/>
    <s v="May"/>
    <x v="6"/>
    <s v="Movies"/>
    <s v="Movies expense"/>
    <x v="1"/>
    <x v="1"/>
    <n v="1307"/>
    <x v="4"/>
    <x v="0"/>
  </r>
  <r>
    <x v="25"/>
    <s v="May"/>
    <x v="4"/>
    <s v="Internet"/>
    <s v="Internet expense"/>
    <x v="1"/>
    <x v="3"/>
    <n v="1302"/>
    <x v="4"/>
    <x v="0"/>
  </r>
  <r>
    <x v="25"/>
    <s v="May"/>
    <x v="4"/>
    <s v="Electricity"/>
    <s v="Electricity expense"/>
    <x v="1"/>
    <x v="2"/>
    <n v="1237"/>
    <x v="4"/>
    <x v="0"/>
  </r>
  <r>
    <x v="25"/>
    <s v="May"/>
    <x v="6"/>
    <s v="Music"/>
    <s v="Music expense"/>
    <x v="1"/>
    <x v="1"/>
    <n v="562"/>
    <x v="4"/>
    <x v="0"/>
  </r>
  <r>
    <x v="26"/>
    <s v="May"/>
    <x v="6"/>
    <s v="Music"/>
    <s v="Music expense"/>
    <x v="1"/>
    <x v="1"/>
    <n v="529"/>
    <x v="5"/>
    <x v="0"/>
  </r>
  <r>
    <x v="26"/>
    <s v="May"/>
    <x v="1"/>
    <s v="Snacks"/>
    <s v="Snacks expense"/>
    <x v="1"/>
    <x v="2"/>
    <n v="1221"/>
    <x v="5"/>
    <x v="0"/>
  </r>
  <r>
    <x v="26"/>
    <s v="May"/>
    <x v="4"/>
    <s v="Internet"/>
    <s v="Internet expense"/>
    <x v="1"/>
    <x v="2"/>
    <n v="848"/>
    <x v="5"/>
    <x v="0"/>
  </r>
  <r>
    <x v="27"/>
    <s v="May"/>
    <x v="2"/>
    <s v="Local"/>
    <s v="Local expense"/>
    <x v="1"/>
    <x v="3"/>
    <n v="629"/>
    <x v="6"/>
    <x v="0"/>
  </r>
  <r>
    <x v="27"/>
    <s v="May"/>
    <x v="6"/>
    <s v="Music"/>
    <s v="Music expense"/>
    <x v="1"/>
    <x v="2"/>
    <n v="247"/>
    <x v="6"/>
    <x v="0"/>
  </r>
  <r>
    <x v="27"/>
    <s v="May"/>
    <x v="4"/>
    <s v="Electricity"/>
    <s v="Electricity expense"/>
    <x v="1"/>
    <x v="3"/>
    <n v="763"/>
    <x v="6"/>
    <x v="0"/>
  </r>
  <r>
    <x v="27"/>
    <s v="May"/>
    <x v="6"/>
    <s v="Gaming"/>
    <s v="Gaming expense"/>
    <x v="1"/>
    <x v="3"/>
    <n v="482"/>
    <x v="6"/>
    <x v="0"/>
  </r>
  <r>
    <x v="27"/>
    <s v="May"/>
    <x v="2"/>
    <s v="Public"/>
    <s v="Public expense"/>
    <x v="1"/>
    <x v="2"/>
    <n v="1153"/>
    <x v="6"/>
    <x v="0"/>
  </r>
  <r>
    <x v="28"/>
    <s v="May"/>
    <x v="3"/>
    <s v="Clothing"/>
    <s v="Clothing expense"/>
    <x v="1"/>
    <x v="2"/>
    <n v="1135"/>
    <x v="0"/>
    <x v="0"/>
  </r>
  <r>
    <x v="28"/>
    <s v="May"/>
    <x v="1"/>
    <s v="Groceries"/>
    <s v="Groceries expense"/>
    <x v="1"/>
    <x v="3"/>
    <n v="1414"/>
    <x v="0"/>
    <x v="0"/>
  </r>
  <r>
    <x v="28"/>
    <s v="May"/>
    <x v="1"/>
    <s v="Groceries"/>
    <s v="Groceries expense"/>
    <x v="1"/>
    <x v="3"/>
    <n v="642"/>
    <x v="0"/>
    <x v="0"/>
  </r>
  <r>
    <x v="28"/>
    <s v="May"/>
    <x v="1"/>
    <s v="Dining"/>
    <s v="Dining expense"/>
    <x v="1"/>
    <x v="1"/>
    <n v="1118"/>
    <x v="0"/>
    <x v="0"/>
  </r>
  <r>
    <x v="28"/>
    <s v="May"/>
    <x v="2"/>
    <s v="Fuel"/>
    <s v="Fuel expense"/>
    <x v="1"/>
    <x v="3"/>
    <n v="702"/>
    <x v="0"/>
    <x v="0"/>
  </r>
  <r>
    <x v="28"/>
    <s v="May"/>
    <x v="6"/>
    <s v="Music"/>
    <s v="Music expense"/>
    <x v="1"/>
    <x v="3"/>
    <n v="960"/>
    <x v="0"/>
    <x v="0"/>
  </r>
  <r>
    <x v="28"/>
    <s v="May"/>
    <x v="3"/>
    <s v="Electronics"/>
    <s v="Electronics expense"/>
    <x v="1"/>
    <x v="2"/>
    <n v="841"/>
    <x v="0"/>
    <x v="0"/>
  </r>
  <r>
    <x v="29"/>
    <s v="May"/>
    <x v="6"/>
    <s v="Music"/>
    <s v="Music expense"/>
    <x v="1"/>
    <x v="2"/>
    <n v="1208"/>
    <x v="1"/>
    <x v="1"/>
  </r>
  <r>
    <x v="29"/>
    <s v="May"/>
    <x v="1"/>
    <s v="Online"/>
    <s v="Online expense"/>
    <x v="1"/>
    <x v="2"/>
    <n v="644"/>
    <x v="1"/>
    <x v="1"/>
  </r>
  <r>
    <x v="29"/>
    <s v="May"/>
    <x v="2"/>
    <s v="Fuel"/>
    <s v="Fuel expense"/>
    <x v="1"/>
    <x v="2"/>
    <n v="116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40AA8C-A2BA-4C43-90BC-2B0F3379FC91}"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7:G15" firstHeaderRow="1" firstDataRow="1" firstDataCol="1" rowPageCount="1" colPageCount="1"/>
  <pivotFields count="11">
    <pivotField numFmtId="14" showAll="0"/>
    <pivotField showAll="0"/>
    <pivotField showAll="0"/>
    <pivotField showAll="0"/>
    <pivotField showAll="0"/>
    <pivotField axis="axisPage" multipleItemSelectionAllowed="1" showAll="0">
      <items count="3">
        <item x="1"/>
        <item h="1" x="0"/>
        <item t="default"/>
      </items>
    </pivotField>
    <pivotField showAll="0"/>
    <pivotField dataField="1" showAll="0"/>
    <pivotField axis="axisRow" showAll="0">
      <items count="8">
        <item x="2"/>
        <item x="3"/>
        <item x="4"/>
        <item x="5"/>
        <item x="6"/>
        <item x="0"/>
        <item x="1"/>
        <item t="default"/>
      </items>
    </pivotField>
    <pivotField showAll="0"/>
    <pivotField dragToRow="0" dragToCol="0" dragToPage="0" showAll="0" defaultSubtotal="0"/>
  </pivotFields>
  <rowFields count="1">
    <field x="8"/>
  </rowFields>
  <rowItems count="8">
    <i>
      <x/>
    </i>
    <i>
      <x v="1"/>
    </i>
    <i>
      <x v="2"/>
    </i>
    <i>
      <x v="3"/>
    </i>
    <i>
      <x v="4"/>
    </i>
    <i>
      <x v="5"/>
    </i>
    <i>
      <x v="6"/>
    </i>
    <i t="grand">
      <x/>
    </i>
  </rowItems>
  <colItems count="1">
    <i/>
  </colItems>
  <pageFields count="1">
    <pageField fld="5" hier="-1"/>
  </pageFields>
  <dataFields count="1">
    <dataField name="Sum of Amount"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F7F24A-90B7-4D7D-9502-49E19426F7DF}"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34" firstHeaderRow="1" firstDataRow="1" firstDataCol="1" rowPageCount="1" colPageCount="1"/>
  <pivotFields count="11">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axis="axisPage" multipleItemSelectionAllowed="1" showAll="0">
      <items count="3">
        <item x="1"/>
        <item h="1" x="0"/>
        <item t="default"/>
      </items>
    </pivotField>
    <pivotField showAll="0">
      <items count="5">
        <item x="0"/>
        <item x="1"/>
        <item x="3"/>
        <item x="2"/>
        <item t="default"/>
      </items>
    </pivotField>
    <pivotField dataField="1" showAll="0"/>
    <pivotField showAll="0">
      <items count="8">
        <item x="2"/>
        <item x="3"/>
        <item x="4"/>
        <item x="5"/>
        <item x="6"/>
        <item x="0"/>
        <item x="1"/>
        <item t="default"/>
      </items>
    </pivotField>
    <pivotField showAll="0">
      <items count="3">
        <item x="0"/>
        <item x="1"/>
        <item t="default"/>
      </items>
    </pivotField>
    <pivotField dragToRow="0" dragToCol="0" dragToPage="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pageFields count="1">
    <pageField fld="5" hier="-1"/>
  </pageFields>
  <dataFields count="1">
    <dataField name="Sum of Amount" fld="7"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19E6F8-A0D3-469F-8775-7E74B4276C3E}"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11">
    <pivotField numFmtId="14" showAll="0"/>
    <pivotField showAll="0"/>
    <pivotField axis="axisRow" showAll="0">
      <items count="8">
        <item x="4"/>
        <item x="6"/>
        <item x="1"/>
        <item x="5"/>
        <item h="1" x="0"/>
        <item x="3"/>
        <item x="2"/>
        <item t="default"/>
      </items>
    </pivotField>
    <pivotField showAll="0"/>
    <pivotField showAll="0"/>
    <pivotField showAll="0"/>
    <pivotField showAll="0"/>
    <pivotField dataField="1" showAll="0"/>
    <pivotField showAll="0"/>
    <pivotField showAll="0"/>
    <pivotField dragToRow="0" dragToCol="0" dragToPage="0" showAll="0" defaultSubtotal="0"/>
  </pivotFields>
  <rowFields count="1">
    <field x="2"/>
  </rowFields>
  <rowItems count="7">
    <i>
      <x/>
    </i>
    <i>
      <x v="1"/>
    </i>
    <i>
      <x v="2"/>
    </i>
    <i>
      <x v="3"/>
    </i>
    <i>
      <x v="5"/>
    </i>
    <i>
      <x v="6"/>
    </i>
    <i t="grand">
      <x/>
    </i>
  </rowItems>
  <colItems count="1">
    <i/>
  </colItems>
  <dataFields count="1">
    <dataField name="Sum of Amount" fld="7" baseField="0" baseItem="0"/>
  </dataFields>
  <chartFormats count="7">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2" count="1" selected="0">
            <x v="0"/>
          </reference>
        </references>
      </pivotArea>
    </chartFormat>
    <chartFormat chart="10" format="9">
      <pivotArea type="data" outline="0" fieldPosition="0">
        <references count="2">
          <reference field="4294967294" count="1" selected="0">
            <x v="0"/>
          </reference>
          <reference field="2" count="1" selected="0">
            <x v="1"/>
          </reference>
        </references>
      </pivotArea>
    </chartFormat>
    <chartFormat chart="10" format="10">
      <pivotArea type="data" outline="0" fieldPosition="0">
        <references count="2">
          <reference field="4294967294" count="1" selected="0">
            <x v="0"/>
          </reference>
          <reference field="2" count="1" selected="0">
            <x v="2"/>
          </reference>
        </references>
      </pivotArea>
    </chartFormat>
    <chartFormat chart="10" format="11">
      <pivotArea type="data" outline="0" fieldPosition="0">
        <references count="2">
          <reference field="4294967294" count="1" selected="0">
            <x v="0"/>
          </reference>
          <reference field="2" count="1" selected="0">
            <x v="3"/>
          </reference>
        </references>
      </pivotArea>
    </chartFormat>
    <chartFormat chart="10" format="12">
      <pivotArea type="data" outline="0" fieldPosition="0">
        <references count="2">
          <reference field="4294967294" count="1" selected="0">
            <x v="0"/>
          </reference>
          <reference field="2" count="1" selected="0">
            <x v="5"/>
          </reference>
        </references>
      </pivotArea>
    </chartFormat>
    <chartFormat chart="10" format="1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9F382D-F5D8-4574-9D81-B15E2C13AD81}" name="PivotTable6"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6">
  <location ref="A4:B8" firstHeaderRow="1" firstDataRow="1" firstDataCol="1" rowPageCount="1" colPageCount="1"/>
  <pivotFields count="8">
    <pivotField numFmtId="14" showAll="0"/>
    <pivotField showAll="0"/>
    <pivotField axis="axisPage" multipleItemSelectionAllowed="1" showAll="0">
      <items count="8">
        <item x="4"/>
        <item x="6"/>
        <item x="1"/>
        <item x="5"/>
        <item h="1" x="0"/>
        <item x="3"/>
        <item x="2"/>
        <item t="default"/>
      </items>
    </pivotField>
    <pivotField showAll="0">
      <items count="19">
        <item x="14"/>
        <item x="10"/>
        <item x="4"/>
        <item x="3"/>
        <item x="11"/>
        <item x="15"/>
        <item x="1"/>
        <item x="6"/>
        <item x="12"/>
        <item x="8"/>
        <item x="9"/>
        <item x="7"/>
        <item x="13"/>
        <item x="17"/>
        <item x="0"/>
        <item x="2"/>
        <item x="5"/>
        <item x="16"/>
        <item t="default"/>
      </items>
    </pivotField>
    <pivotField showAll="0"/>
    <pivotField showAll="0">
      <items count="3">
        <item x="1"/>
        <item x="0"/>
        <item t="default"/>
      </items>
    </pivotField>
    <pivotField axis="axisRow" showAll="0">
      <items count="5">
        <item x="0"/>
        <item x="1"/>
        <item x="3"/>
        <item x="2"/>
        <item t="default"/>
      </items>
    </pivotField>
    <pivotField dataField="1" showAll="0"/>
  </pivotFields>
  <rowFields count="1">
    <field x="6"/>
  </rowFields>
  <rowItems count="4">
    <i>
      <x v="1"/>
    </i>
    <i>
      <x v="2"/>
    </i>
    <i>
      <x v="3"/>
    </i>
    <i t="grand">
      <x/>
    </i>
  </rowItems>
  <colItems count="1">
    <i/>
  </colItems>
  <pageFields count="1">
    <pageField fld="2" hier="-1"/>
  </pageFields>
  <dataFields count="1">
    <dataField name="Sum of Amount" fld="7" baseField="0" baseItem="0"/>
  </dataFields>
  <chartFormats count="5">
    <chartFormat chart="0" format="4" series="1">
      <pivotArea type="data" outline="0" fieldPosition="0">
        <references count="1">
          <reference field="6" count="1" selected="0">
            <x v="1"/>
          </reference>
        </references>
      </pivotArea>
    </chartFormat>
    <chartFormat chart="0" format="5" series="1">
      <pivotArea type="data" outline="0" fieldPosition="0">
        <references count="1">
          <reference field="6" count="1" selected="0">
            <x v="2"/>
          </reference>
        </references>
      </pivotArea>
    </chartFormat>
    <chartFormat chart="0" format="6" series="1">
      <pivotArea type="data" outline="0" fieldPosition="0">
        <references count="1">
          <reference field="6" count="1" selected="0">
            <x v="3"/>
          </reference>
        </references>
      </pivotArea>
    </chartFormat>
    <chartFormat chart="0" format="7" series="1">
      <pivotArea type="data" outline="0" fieldPosition="0">
        <references count="1">
          <reference field="6"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2450B01-4860-4FC2-8F97-D2F2478C3917}" sourceName="Payment Mode">
  <pivotTables>
    <pivotTable tabId="7" name="PivotTable6"/>
  </pivotTables>
  <data>
    <tabular pivotCacheId="1415205730">
      <items count="4">
        <i x="1" s="1"/>
        <i x="3" s="1"/>
        <i x="2"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1" xr10:uid="{55014B37-9450-4145-B017-C0DB6534EB26}" cache="Slicer_Payment_Mode" caption="Payment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B3FF5E-A6A1-443D-9603-4D491C3415B7}" name="Table7" displayName="Table7" ref="A5:J154" totalsRowShown="0">
  <autoFilter ref="A5:J154" xr:uid="{FFB3FF5E-A6A1-443D-9603-4D491C3415B7}"/>
  <tableColumns count="10">
    <tableColumn id="1" xr3:uid="{F677F0B1-2819-47C3-B53C-282E0428F6D9}" name="Date" dataDxfId="2"/>
    <tableColumn id="2" xr3:uid="{550A9BC6-63D4-4394-963F-7EFB203C2208}" name="Month"/>
    <tableColumn id="3" xr3:uid="{A951F015-68E1-4E4B-842D-60F088C1BD64}" name="Category"/>
    <tableColumn id="4" xr3:uid="{62112015-E5D3-4AD7-95F9-57922E871CB1}" name="Sub-Category"/>
    <tableColumn id="5" xr3:uid="{DFB2EE79-A7DA-40AF-A77F-D468BCADC668}" name="Description"/>
    <tableColumn id="6" xr3:uid="{AA6A5163-E0F0-47F6-8005-F2554769FC05}" name="Type"/>
    <tableColumn id="7" xr3:uid="{DF8EE636-F4B6-4254-8F3E-1DF046A65384}" name="Payment Mode"/>
    <tableColumn id="8" xr3:uid="{4442531F-E882-4879-8447-C0B0748CC4F9}" name="Amount"/>
    <tableColumn id="9" xr3:uid="{920C0A47-BA3B-4271-BA4D-01D62229C859}" name="Day" dataDxfId="1">
      <calculatedColumnFormula>TEXT(Table7[[#This Row],[Date]],"dddd")</calculatedColumnFormula>
    </tableColumn>
    <tableColumn id="10" xr3:uid="{AC38D167-C59A-4834-BF40-9CADD032A348}" name="Day Type" dataDxfId="0">
      <calculatedColumnFormula>IF(OR(Table7[[#This Row],[Day]]="Saturday",Table7[[#This Row],[Day]]="Sunday"),"Weekend","Weekday")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18E2-DE8F-4B6A-9CA9-76B56980B8AA}">
  <dimension ref="A1:H150"/>
  <sheetViews>
    <sheetView topLeftCell="A19" workbookViewId="0">
      <selection activeCell="H2" sqref="H2"/>
    </sheetView>
  </sheetViews>
  <sheetFormatPr defaultRowHeight="14.4" x14ac:dyDescent="0.3"/>
  <sheetData>
    <row r="1" spans="1:8" x14ac:dyDescent="0.3">
      <c r="A1" t="s">
        <v>0</v>
      </c>
      <c r="B1" t="s">
        <v>1</v>
      </c>
      <c r="C1" t="s">
        <v>2</v>
      </c>
      <c r="D1" t="s">
        <v>3</v>
      </c>
      <c r="E1" t="s">
        <v>4</v>
      </c>
      <c r="F1" t="s">
        <v>5</v>
      </c>
      <c r="G1" t="s">
        <v>6</v>
      </c>
      <c r="H1" t="s">
        <v>7</v>
      </c>
    </row>
    <row r="2" spans="1:8" x14ac:dyDescent="0.3">
      <c r="A2" s="1">
        <v>46143</v>
      </c>
      <c r="B2" t="s">
        <v>8</v>
      </c>
      <c r="C2" t="s">
        <v>9</v>
      </c>
      <c r="D2" t="s">
        <v>10</v>
      </c>
      <c r="E2" t="s">
        <v>11</v>
      </c>
      <c r="F2" t="s">
        <v>12</v>
      </c>
      <c r="G2" t="s">
        <v>13</v>
      </c>
      <c r="H2">
        <v>150000</v>
      </c>
    </row>
    <row r="3" spans="1:8" x14ac:dyDescent="0.3">
      <c r="A3" s="1">
        <v>46143</v>
      </c>
      <c r="B3" t="s">
        <v>8</v>
      </c>
      <c r="C3" t="s">
        <v>14</v>
      </c>
      <c r="D3" t="s">
        <v>15</v>
      </c>
      <c r="E3" t="s">
        <v>16</v>
      </c>
      <c r="F3" t="s">
        <v>17</v>
      </c>
      <c r="G3" t="s">
        <v>18</v>
      </c>
      <c r="H3">
        <v>1180</v>
      </c>
    </row>
    <row r="4" spans="1:8" x14ac:dyDescent="0.3">
      <c r="A4" s="1">
        <v>46143</v>
      </c>
      <c r="B4" t="s">
        <v>8</v>
      </c>
      <c r="C4" t="s">
        <v>19</v>
      </c>
      <c r="D4" t="s">
        <v>20</v>
      </c>
      <c r="E4" t="s">
        <v>21</v>
      </c>
      <c r="F4" t="s">
        <v>17</v>
      </c>
      <c r="G4" t="s">
        <v>18</v>
      </c>
      <c r="H4">
        <v>650</v>
      </c>
    </row>
    <row r="5" spans="1:8" x14ac:dyDescent="0.3">
      <c r="A5" s="1">
        <v>46143</v>
      </c>
      <c r="B5" t="s">
        <v>8</v>
      </c>
      <c r="C5" t="s">
        <v>22</v>
      </c>
      <c r="D5" t="s">
        <v>23</v>
      </c>
      <c r="E5" t="s">
        <v>24</v>
      </c>
      <c r="F5" t="s">
        <v>17</v>
      </c>
      <c r="G5" t="s">
        <v>25</v>
      </c>
      <c r="H5">
        <v>700</v>
      </c>
    </row>
    <row r="6" spans="1:8" x14ac:dyDescent="0.3">
      <c r="A6" s="1">
        <v>46143</v>
      </c>
      <c r="B6" t="s">
        <v>8</v>
      </c>
      <c r="C6" t="s">
        <v>26</v>
      </c>
      <c r="D6" t="s">
        <v>27</v>
      </c>
      <c r="E6" t="s">
        <v>28</v>
      </c>
      <c r="F6" t="s">
        <v>17</v>
      </c>
      <c r="G6" t="s">
        <v>25</v>
      </c>
      <c r="H6">
        <v>1228</v>
      </c>
    </row>
    <row r="7" spans="1:8" x14ac:dyDescent="0.3">
      <c r="A7" s="1">
        <v>46143</v>
      </c>
      <c r="B7" t="s">
        <v>8</v>
      </c>
      <c r="C7" t="s">
        <v>26</v>
      </c>
      <c r="D7" t="s">
        <v>27</v>
      </c>
      <c r="E7" t="s">
        <v>28</v>
      </c>
      <c r="F7" t="s">
        <v>17</v>
      </c>
      <c r="G7" t="s">
        <v>29</v>
      </c>
      <c r="H7">
        <v>564</v>
      </c>
    </row>
    <row r="8" spans="1:8" x14ac:dyDescent="0.3">
      <c r="A8" s="1">
        <v>46143</v>
      </c>
      <c r="B8" t="s">
        <v>8</v>
      </c>
      <c r="C8" t="s">
        <v>14</v>
      </c>
      <c r="D8" t="s">
        <v>30</v>
      </c>
      <c r="E8" t="s">
        <v>31</v>
      </c>
      <c r="F8" t="s">
        <v>17</v>
      </c>
      <c r="G8" t="s">
        <v>18</v>
      </c>
      <c r="H8">
        <v>814</v>
      </c>
    </row>
    <row r="9" spans="1:8" x14ac:dyDescent="0.3">
      <c r="A9" s="1">
        <v>46144</v>
      </c>
      <c r="B9" t="s">
        <v>8</v>
      </c>
      <c r="C9" t="s">
        <v>32</v>
      </c>
      <c r="D9" t="s">
        <v>33</v>
      </c>
      <c r="E9" t="s">
        <v>34</v>
      </c>
      <c r="F9" t="s">
        <v>17</v>
      </c>
      <c r="G9" t="s">
        <v>25</v>
      </c>
      <c r="H9">
        <v>6000</v>
      </c>
    </row>
    <row r="10" spans="1:8" x14ac:dyDescent="0.3">
      <c r="A10" s="1">
        <v>46144</v>
      </c>
      <c r="B10" t="s">
        <v>8</v>
      </c>
      <c r="C10" t="s">
        <v>35</v>
      </c>
      <c r="D10" t="s">
        <v>36</v>
      </c>
      <c r="E10" t="s">
        <v>37</v>
      </c>
      <c r="F10" t="s">
        <v>17</v>
      </c>
      <c r="G10" t="s">
        <v>29</v>
      </c>
      <c r="H10">
        <v>687</v>
      </c>
    </row>
    <row r="11" spans="1:8" x14ac:dyDescent="0.3">
      <c r="A11" s="1">
        <v>46144</v>
      </c>
      <c r="B11" t="s">
        <v>8</v>
      </c>
      <c r="C11" t="s">
        <v>19</v>
      </c>
      <c r="D11" t="s">
        <v>38</v>
      </c>
      <c r="E11" t="s">
        <v>39</v>
      </c>
      <c r="F11" t="s">
        <v>17</v>
      </c>
      <c r="G11" t="s">
        <v>29</v>
      </c>
      <c r="H11">
        <v>401</v>
      </c>
    </row>
    <row r="12" spans="1:8" x14ac:dyDescent="0.3">
      <c r="A12" s="1">
        <v>46144</v>
      </c>
      <c r="B12" t="s">
        <v>8</v>
      </c>
      <c r="C12" t="s">
        <v>22</v>
      </c>
      <c r="D12" t="s">
        <v>23</v>
      </c>
      <c r="E12" t="s">
        <v>24</v>
      </c>
      <c r="F12" t="s">
        <v>17</v>
      </c>
      <c r="G12" t="s">
        <v>29</v>
      </c>
      <c r="H12">
        <v>568</v>
      </c>
    </row>
    <row r="13" spans="1:8" x14ac:dyDescent="0.3">
      <c r="A13" s="1">
        <v>46144</v>
      </c>
      <c r="B13" t="s">
        <v>8</v>
      </c>
      <c r="C13" t="s">
        <v>22</v>
      </c>
      <c r="D13" t="s">
        <v>23</v>
      </c>
      <c r="E13" t="s">
        <v>24</v>
      </c>
      <c r="F13" t="s">
        <v>17</v>
      </c>
      <c r="G13" t="s">
        <v>29</v>
      </c>
      <c r="H13">
        <v>1110</v>
      </c>
    </row>
    <row r="14" spans="1:8" x14ac:dyDescent="0.3">
      <c r="A14" s="1">
        <v>46144</v>
      </c>
      <c r="B14" t="s">
        <v>8</v>
      </c>
      <c r="C14" t="s">
        <v>22</v>
      </c>
      <c r="D14" t="s">
        <v>23</v>
      </c>
      <c r="E14" t="s">
        <v>24</v>
      </c>
      <c r="F14" t="s">
        <v>17</v>
      </c>
      <c r="G14" t="s">
        <v>29</v>
      </c>
      <c r="H14">
        <v>216</v>
      </c>
    </row>
    <row r="15" spans="1:8" x14ac:dyDescent="0.3">
      <c r="A15" s="1">
        <v>46145</v>
      </c>
      <c r="B15" t="s">
        <v>8</v>
      </c>
      <c r="C15" t="s">
        <v>19</v>
      </c>
      <c r="D15" t="s">
        <v>20</v>
      </c>
      <c r="E15" t="s">
        <v>21</v>
      </c>
      <c r="F15" t="s">
        <v>17</v>
      </c>
      <c r="G15" t="s">
        <v>25</v>
      </c>
      <c r="H15">
        <v>782</v>
      </c>
    </row>
    <row r="16" spans="1:8" x14ac:dyDescent="0.3">
      <c r="A16" s="1">
        <v>46145</v>
      </c>
      <c r="B16" t="s">
        <v>8</v>
      </c>
      <c r="C16" t="s">
        <v>26</v>
      </c>
      <c r="D16" t="s">
        <v>40</v>
      </c>
      <c r="E16" t="s">
        <v>41</v>
      </c>
      <c r="F16" t="s">
        <v>17</v>
      </c>
      <c r="G16" t="s">
        <v>25</v>
      </c>
      <c r="H16">
        <v>1311</v>
      </c>
    </row>
    <row r="17" spans="1:8" x14ac:dyDescent="0.3">
      <c r="A17" s="1">
        <v>46145</v>
      </c>
      <c r="B17" t="s">
        <v>8</v>
      </c>
      <c r="C17" t="s">
        <v>14</v>
      </c>
      <c r="D17" t="s">
        <v>42</v>
      </c>
      <c r="E17" t="s">
        <v>43</v>
      </c>
      <c r="F17" t="s">
        <v>17</v>
      </c>
      <c r="G17" t="s">
        <v>25</v>
      </c>
      <c r="H17">
        <v>1357</v>
      </c>
    </row>
    <row r="18" spans="1:8" x14ac:dyDescent="0.3">
      <c r="A18" s="1">
        <v>46145</v>
      </c>
      <c r="B18" t="s">
        <v>8</v>
      </c>
      <c r="C18" t="s">
        <v>14</v>
      </c>
      <c r="D18" t="s">
        <v>42</v>
      </c>
      <c r="E18" t="s">
        <v>43</v>
      </c>
      <c r="F18" t="s">
        <v>17</v>
      </c>
      <c r="G18" t="s">
        <v>29</v>
      </c>
      <c r="H18">
        <v>958</v>
      </c>
    </row>
    <row r="19" spans="1:8" x14ac:dyDescent="0.3">
      <c r="A19" s="1">
        <v>46145</v>
      </c>
      <c r="B19" t="s">
        <v>8</v>
      </c>
      <c r="C19" t="s">
        <v>19</v>
      </c>
      <c r="D19" t="s">
        <v>44</v>
      </c>
      <c r="E19" t="s">
        <v>45</v>
      </c>
      <c r="F19" t="s">
        <v>17</v>
      </c>
      <c r="G19" t="s">
        <v>29</v>
      </c>
      <c r="H19">
        <v>468</v>
      </c>
    </row>
    <row r="20" spans="1:8" x14ac:dyDescent="0.3">
      <c r="A20" s="1">
        <v>46146</v>
      </c>
      <c r="B20" t="s">
        <v>8</v>
      </c>
      <c r="C20" t="s">
        <v>26</v>
      </c>
      <c r="D20" t="s">
        <v>27</v>
      </c>
      <c r="E20" t="s">
        <v>28</v>
      </c>
      <c r="F20" t="s">
        <v>17</v>
      </c>
      <c r="G20" t="s">
        <v>25</v>
      </c>
      <c r="H20">
        <v>561</v>
      </c>
    </row>
    <row r="21" spans="1:8" x14ac:dyDescent="0.3">
      <c r="A21" s="1">
        <v>46146</v>
      </c>
      <c r="B21" t="s">
        <v>8</v>
      </c>
      <c r="C21" t="s">
        <v>26</v>
      </c>
      <c r="D21" t="s">
        <v>46</v>
      </c>
      <c r="E21" t="s">
        <v>47</v>
      </c>
      <c r="F21" t="s">
        <v>17</v>
      </c>
      <c r="G21" t="s">
        <v>25</v>
      </c>
      <c r="H21">
        <v>1087</v>
      </c>
    </row>
    <row r="22" spans="1:8" x14ac:dyDescent="0.3">
      <c r="A22" s="1">
        <v>46146</v>
      </c>
      <c r="B22" t="s">
        <v>8</v>
      </c>
      <c r="C22" t="s">
        <v>14</v>
      </c>
      <c r="D22" t="s">
        <v>42</v>
      </c>
      <c r="E22" t="s">
        <v>43</v>
      </c>
      <c r="F22" t="s">
        <v>17</v>
      </c>
      <c r="G22" t="s">
        <v>18</v>
      </c>
      <c r="H22">
        <v>925</v>
      </c>
    </row>
    <row r="23" spans="1:8" x14ac:dyDescent="0.3">
      <c r="A23" s="1">
        <v>46146</v>
      </c>
      <c r="B23" t="s">
        <v>8</v>
      </c>
      <c r="C23" t="s">
        <v>35</v>
      </c>
      <c r="D23" t="s">
        <v>48</v>
      </c>
      <c r="E23" t="s">
        <v>49</v>
      </c>
      <c r="F23" t="s">
        <v>17</v>
      </c>
      <c r="G23" t="s">
        <v>25</v>
      </c>
      <c r="H23">
        <v>486</v>
      </c>
    </row>
    <row r="24" spans="1:8" x14ac:dyDescent="0.3">
      <c r="A24" s="1">
        <v>46146</v>
      </c>
      <c r="B24" t="s">
        <v>8</v>
      </c>
      <c r="C24" t="s">
        <v>14</v>
      </c>
      <c r="D24" t="s">
        <v>15</v>
      </c>
      <c r="E24" t="s">
        <v>16</v>
      </c>
      <c r="F24" t="s">
        <v>17</v>
      </c>
      <c r="G24" t="s">
        <v>25</v>
      </c>
      <c r="H24">
        <v>443</v>
      </c>
    </row>
    <row r="25" spans="1:8" x14ac:dyDescent="0.3">
      <c r="A25" s="1">
        <v>46147</v>
      </c>
      <c r="B25" t="s">
        <v>8</v>
      </c>
      <c r="C25" t="s">
        <v>22</v>
      </c>
      <c r="D25" t="s">
        <v>50</v>
      </c>
      <c r="E25" t="s">
        <v>51</v>
      </c>
      <c r="F25" t="s">
        <v>17</v>
      </c>
      <c r="G25" t="s">
        <v>29</v>
      </c>
      <c r="H25">
        <v>409</v>
      </c>
    </row>
    <row r="26" spans="1:8" x14ac:dyDescent="0.3">
      <c r="A26" s="1">
        <v>46147</v>
      </c>
      <c r="B26" t="s">
        <v>8</v>
      </c>
      <c r="C26" t="s">
        <v>26</v>
      </c>
      <c r="D26" t="s">
        <v>46</v>
      </c>
      <c r="E26" t="s">
        <v>47</v>
      </c>
      <c r="F26" t="s">
        <v>17</v>
      </c>
      <c r="G26" t="s">
        <v>18</v>
      </c>
      <c r="H26">
        <v>1407</v>
      </c>
    </row>
    <row r="27" spans="1:8" x14ac:dyDescent="0.3">
      <c r="A27" s="1">
        <v>46147</v>
      </c>
      <c r="B27" t="s">
        <v>8</v>
      </c>
      <c r="C27" t="s">
        <v>14</v>
      </c>
      <c r="D27" t="s">
        <v>42</v>
      </c>
      <c r="E27" t="s">
        <v>43</v>
      </c>
      <c r="F27" t="s">
        <v>17</v>
      </c>
      <c r="G27" t="s">
        <v>25</v>
      </c>
      <c r="H27">
        <v>556</v>
      </c>
    </row>
    <row r="28" spans="1:8" x14ac:dyDescent="0.3">
      <c r="A28" s="1">
        <v>46147</v>
      </c>
      <c r="B28" t="s">
        <v>8</v>
      </c>
      <c r="C28" t="s">
        <v>35</v>
      </c>
      <c r="D28" t="s">
        <v>52</v>
      </c>
      <c r="E28" t="s">
        <v>53</v>
      </c>
      <c r="F28" t="s">
        <v>17</v>
      </c>
      <c r="G28" t="s">
        <v>29</v>
      </c>
      <c r="H28">
        <v>1038</v>
      </c>
    </row>
    <row r="29" spans="1:8" x14ac:dyDescent="0.3">
      <c r="A29" s="1">
        <v>46147</v>
      </c>
      <c r="B29" t="s">
        <v>8</v>
      </c>
      <c r="C29" t="s">
        <v>19</v>
      </c>
      <c r="D29" t="s">
        <v>44</v>
      </c>
      <c r="E29" t="s">
        <v>45</v>
      </c>
      <c r="F29" t="s">
        <v>17</v>
      </c>
      <c r="G29" t="s">
        <v>18</v>
      </c>
      <c r="H29">
        <v>1467</v>
      </c>
    </row>
    <row r="30" spans="1:8" x14ac:dyDescent="0.3">
      <c r="A30" s="1">
        <v>46147</v>
      </c>
      <c r="B30" t="s">
        <v>8</v>
      </c>
      <c r="C30" t="s">
        <v>14</v>
      </c>
      <c r="D30" t="s">
        <v>15</v>
      </c>
      <c r="E30" t="s">
        <v>16</v>
      </c>
      <c r="F30" t="s">
        <v>17</v>
      </c>
      <c r="G30" t="s">
        <v>18</v>
      </c>
      <c r="H30">
        <v>1482</v>
      </c>
    </row>
    <row r="31" spans="1:8" x14ac:dyDescent="0.3">
      <c r="A31" s="1">
        <v>46148</v>
      </c>
      <c r="B31" t="s">
        <v>8</v>
      </c>
      <c r="C31" t="s">
        <v>22</v>
      </c>
      <c r="D31" t="s">
        <v>50</v>
      </c>
      <c r="E31" t="s">
        <v>51</v>
      </c>
      <c r="F31" t="s">
        <v>17</v>
      </c>
      <c r="G31" t="s">
        <v>25</v>
      </c>
      <c r="H31">
        <v>687</v>
      </c>
    </row>
    <row r="32" spans="1:8" x14ac:dyDescent="0.3">
      <c r="A32" s="1">
        <v>46148</v>
      </c>
      <c r="B32" t="s">
        <v>8</v>
      </c>
      <c r="C32" t="s">
        <v>14</v>
      </c>
      <c r="D32" t="s">
        <v>15</v>
      </c>
      <c r="E32" t="s">
        <v>16</v>
      </c>
      <c r="F32" t="s">
        <v>17</v>
      </c>
      <c r="G32" t="s">
        <v>25</v>
      </c>
      <c r="H32">
        <v>1012</v>
      </c>
    </row>
    <row r="33" spans="1:8" x14ac:dyDescent="0.3">
      <c r="A33" s="1">
        <v>46148</v>
      </c>
      <c r="B33" t="s">
        <v>8</v>
      </c>
      <c r="C33" t="s">
        <v>14</v>
      </c>
      <c r="D33" t="s">
        <v>30</v>
      </c>
      <c r="E33" t="s">
        <v>31</v>
      </c>
      <c r="F33" t="s">
        <v>17</v>
      </c>
      <c r="G33" t="s">
        <v>25</v>
      </c>
      <c r="H33">
        <v>1350</v>
      </c>
    </row>
    <row r="34" spans="1:8" x14ac:dyDescent="0.3">
      <c r="A34" s="1">
        <v>46148</v>
      </c>
      <c r="B34" t="s">
        <v>8</v>
      </c>
      <c r="C34" t="s">
        <v>35</v>
      </c>
      <c r="D34" t="s">
        <v>36</v>
      </c>
      <c r="E34" t="s">
        <v>37</v>
      </c>
      <c r="F34" t="s">
        <v>17</v>
      </c>
      <c r="G34" t="s">
        <v>29</v>
      </c>
      <c r="H34">
        <v>1133</v>
      </c>
    </row>
    <row r="35" spans="1:8" x14ac:dyDescent="0.3">
      <c r="A35" s="1">
        <v>46149</v>
      </c>
      <c r="B35" t="s">
        <v>8</v>
      </c>
      <c r="C35" t="s">
        <v>14</v>
      </c>
      <c r="D35" t="s">
        <v>42</v>
      </c>
      <c r="E35" t="s">
        <v>43</v>
      </c>
      <c r="F35" t="s">
        <v>17</v>
      </c>
      <c r="G35" t="s">
        <v>25</v>
      </c>
      <c r="H35">
        <v>1250</v>
      </c>
    </row>
    <row r="36" spans="1:8" x14ac:dyDescent="0.3">
      <c r="A36" s="1">
        <v>46149</v>
      </c>
      <c r="B36" t="s">
        <v>8</v>
      </c>
      <c r="C36" t="s">
        <v>35</v>
      </c>
      <c r="D36" t="s">
        <v>48</v>
      </c>
      <c r="E36" t="s">
        <v>49</v>
      </c>
      <c r="F36" t="s">
        <v>17</v>
      </c>
      <c r="G36" t="s">
        <v>29</v>
      </c>
      <c r="H36">
        <v>733</v>
      </c>
    </row>
    <row r="37" spans="1:8" x14ac:dyDescent="0.3">
      <c r="A37" s="1">
        <v>46149</v>
      </c>
      <c r="B37" t="s">
        <v>8</v>
      </c>
      <c r="C37" t="s">
        <v>26</v>
      </c>
      <c r="D37" t="s">
        <v>54</v>
      </c>
      <c r="E37" t="s">
        <v>55</v>
      </c>
      <c r="F37" t="s">
        <v>17</v>
      </c>
      <c r="G37" t="s">
        <v>29</v>
      </c>
      <c r="H37">
        <v>1109</v>
      </c>
    </row>
    <row r="38" spans="1:8" x14ac:dyDescent="0.3">
      <c r="A38" s="1">
        <v>46149</v>
      </c>
      <c r="B38" t="s">
        <v>8</v>
      </c>
      <c r="C38" t="s">
        <v>26</v>
      </c>
      <c r="D38" t="s">
        <v>27</v>
      </c>
      <c r="E38" t="s">
        <v>28</v>
      </c>
      <c r="F38" t="s">
        <v>17</v>
      </c>
      <c r="G38" t="s">
        <v>29</v>
      </c>
      <c r="H38">
        <v>1072</v>
      </c>
    </row>
    <row r="39" spans="1:8" x14ac:dyDescent="0.3">
      <c r="A39" s="1">
        <v>46150</v>
      </c>
      <c r="B39" t="s">
        <v>8</v>
      </c>
      <c r="C39" t="s">
        <v>35</v>
      </c>
      <c r="D39" t="s">
        <v>36</v>
      </c>
      <c r="E39" t="s">
        <v>37</v>
      </c>
      <c r="F39" t="s">
        <v>17</v>
      </c>
      <c r="G39" t="s">
        <v>25</v>
      </c>
      <c r="H39">
        <v>327</v>
      </c>
    </row>
    <row r="40" spans="1:8" x14ac:dyDescent="0.3">
      <c r="A40" s="1">
        <v>46150</v>
      </c>
      <c r="B40" t="s">
        <v>8</v>
      </c>
      <c r="C40" t="s">
        <v>14</v>
      </c>
      <c r="D40" t="s">
        <v>42</v>
      </c>
      <c r="E40" t="s">
        <v>43</v>
      </c>
      <c r="F40" t="s">
        <v>17</v>
      </c>
      <c r="G40" t="s">
        <v>29</v>
      </c>
      <c r="H40">
        <v>456</v>
      </c>
    </row>
    <row r="41" spans="1:8" x14ac:dyDescent="0.3">
      <c r="A41" s="1">
        <v>46150</v>
      </c>
      <c r="B41" t="s">
        <v>8</v>
      </c>
      <c r="C41" t="s">
        <v>35</v>
      </c>
      <c r="D41" t="s">
        <v>52</v>
      </c>
      <c r="E41" t="s">
        <v>53</v>
      </c>
      <c r="F41" t="s">
        <v>17</v>
      </c>
      <c r="G41" t="s">
        <v>18</v>
      </c>
      <c r="H41">
        <v>701</v>
      </c>
    </row>
    <row r="42" spans="1:8" x14ac:dyDescent="0.3">
      <c r="A42" s="1">
        <v>46151</v>
      </c>
      <c r="B42" t="s">
        <v>8</v>
      </c>
      <c r="C42" t="s">
        <v>35</v>
      </c>
      <c r="D42" t="s">
        <v>48</v>
      </c>
      <c r="E42" t="s">
        <v>49</v>
      </c>
      <c r="F42" t="s">
        <v>17</v>
      </c>
      <c r="G42" t="s">
        <v>18</v>
      </c>
      <c r="H42">
        <v>1416</v>
      </c>
    </row>
    <row r="43" spans="1:8" x14ac:dyDescent="0.3">
      <c r="A43" s="1">
        <v>46151</v>
      </c>
      <c r="B43" t="s">
        <v>8</v>
      </c>
      <c r="C43" t="s">
        <v>26</v>
      </c>
      <c r="D43" t="s">
        <v>46</v>
      </c>
      <c r="E43" t="s">
        <v>47</v>
      </c>
      <c r="F43" t="s">
        <v>17</v>
      </c>
      <c r="G43" t="s">
        <v>25</v>
      </c>
      <c r="H43">
        <v>576</v>
      </c>
    </row>
    <row r="44" spans="1:8" x14ac:dyDescent="0.3">
      <c r="A44" s="1">
        <v>46151</v>
      </c>
      <c r="B44" t="s">
        <v>8</v>
      </c>
      <c r="C44" t="s">
        <v>22</v>
      </c>
      <c r="D44" t="s">
        <v>23</v>
      </c>
      <c r="E44" t="s">
        <v>24</v>
      </c>
      <c r="F44" t="s">
        <v>17</v>
      </c>
      <c r="G44" t="s">
        <v>18</v>
      </c>
      <c r="H44">
        <v>731</v>
      </c>
    </row>
    <row r="45" spans="1:8" x14ac:dyDescent="0.3">
      <c r="A45" s="1">
        <v>46151</v>
      </c>
      <c r="B45" t="s">
        <v>8</v>
      </c>
      <c r="C45" t="s">
        <v>35</v>
      </c>
      <c r="D45" t="s">
        <v>52</v>
      </c>
      <c r="E45" t="s">
        <v>53</v>
      </c>
      <c r="F45" t="s">
        <v>17</v>
      </c>
      <c r="G45" t="s">
        <v>25</v>
      </c>
      <c r="H45">
        <v>286</v>
      </c>
    </row>
    <row r="46" spans="1:8" x14ac:dyDescent="0.3">
      <c r="A46" s="1">
        <v>46151</v>
      </c>
      <c r="B46" t="s">
        <v>8</v>
      </c>
      <c r="C46" t="s">
        <v>14</v>
      </c>
      <c r="D46" t="s">
        <v>56</v>
      </c>
      <c r="E46" t="s">
        <v>57</v>
      </c>
      <c r="F46" t="s">
        <v>17</v>
      </c>
      <c r="G46" t="s">
        <v>25</v>
      </c>
      <c r="H46">
        <v>1145</v>
      </c>
    </row>
    <row r="47" spans="1:8" x14ac:dyDescent="0.3">
      <c r="A47" s="1">
        <v>46152</v>
      </c>
      <c r="B47" t="s">
        <v>8</v>
      </c>
      <c r="C47" t="s">
        <v>14</v>
      </c>
      <c r="D47" t="s">
        <v>56</v>
      </c>
      <c r="E47" t="s">
        <v>57</v>
      </c>
      <c r="F47" t="s">
        <v>17</v>
      </c>
      <c r="G47" t="s">
        <v>29</v>
      </c>
      <c r="H47">
        <v>1165</v>
      </c>
    </row>
    <row r="48" spans="1:8" x14ac:dyDescent="0.3">
      <c r="A48" s="1">
        <v>46152</v>
      </c>
      <c r="B48" t="s">
        <v>8</v>
      </c>
      <c r="C48" t="s">
        <v>14</v>
      </c>
      <c r="D48" t="s">
        <v>30</v>
      </c>
      <c r="E48" t="s">
        <v>31</v>
      </c>
      <c r="F48" t="s">
        <v>17</v>
      </c>
      <c r="G48" t="s">
        <v>25</v>
      </c>
      <c r="H48">
        <v>962</v>
      </c>
    </row>
    <row r="49" spans="1:8" x14ac:dyDescent="0.3">
      <c r="A49" s="1">
        <v>46152</v>
      </c>
      <c r="B49" t="s">
        <v>8</v>
      </c>
      <c r="C49" t="s">
        <v>35</v>
      </c>
      <c r="D49" t="s">
        <v>36</v>
      </c>
      <c r="E49" t="s">
        <v>37</v>
      </c>
      <c r="F49" t="s">
        <v>17</v>
      </c>
      <c r="G49" t="s">
        <v>18</v>
      </c>
      <c r="H49">
        <v>1087</v>
      </c>
    </row>
    <row r="50" spans="1:8" x14ac:dyDescent="0.3">
      <c r="A50" s="1">
        <v>46152</v>
      </c>
      <c r="B50" t="s">
        <v>8</v>
      </c>
      <c r="C50" t="s">
        <v>14</v>
      </c>
      <c r="D50" t="s">
        <v>42</v>
      </c>
      <c r="E50" t="s">
        <v>43</v>
      </c>
      <c r="F50" t="s">
        <v>17</v>
      </c>
      <c r="G50" t="s">
        <v>25</v>
      </c>
      <c r="H50">
        <v>895</v>
      </c>
    </row>
    <row r="51" spans="1:8" x14ac:dyDescent="0.3">
      <c r="A51" s="1">
        <v>46153</v>
      </c>
      <c r="B51" t="s">
        <v>8</v>
      </c>
      <c r="C51" t="s">
        <v>35</v>
      </c>
      <c r="D51" t="s">
        <v>48</v>
      </c>
      <c r="E51" t="s">
        <v>49</v>
      </c>
      <c r="F51" t="s">
        <v>17</v>
      </c>
      <c r="G51" t="s">
        <v>18</v>
      </c>
      <c r="H51">
        <v>840</v>
      </c>
    </row>
    <row r="52" spans="1:8" x14ac:dyDescent="0.3">
      <c r="A52" s="1">
        <v>46153</v>
      </c>
      <c r="B52" t="s">
        <v>8</v>
      </c>
      <c r="C52" t="s">
        <v>19</v>
      </c>
      <c r="D52" t="s">
        <v>44</v>
      </c>
      <c r="E52" t="s">
        <v>45</v>
      </c>
      <c r="F52" t="s">
        <v>17</v>
      </c>
      <c r="G52" t="s">
        <v>25</v>
      </c>
      <c r="H52">
        <v>694</v>
      </c>
    </row>
    <row r="53" spans="1:8" x14ac:dyDescent="0.3">
      <c r="A53" s="1">
        <v>46153</v>
      </c>
      <c r="B53" t="s">
        <v>8</v>
      </c>
      <c r="C53" t="s">
        <v>14</v>
      </c>
      <c r="D53" t="s">
        <v>30</v>
      </c>
      <c r="E53" t="s">
        <v>31</v>
      </c>
      <c r="F53" t="s">
        <v>17</v>
      </c>
      <c r="G53" t="s">
        <v>25</v>
      </c>
      <c r="H53">
        <v>1225</v>
      </c>
    </row>
    <row r="54" spans="1:8" x14ac:dyDescent="0.3">
      <c r="A54" s="1">
        <v>46154</v>
      </c>
      <c r="B54" t="s">
        <v>8</v>
      </c>
      <c r="C54" t="s">
        <v>26</v>
      </c>
      <c r="D54" t="s">
        <v>46</v>
      </c>
      <c r="E54" t="s">
        <v>47</v>
      </c>
      <c r="F54" t="s">
        <v>17</v>
      </c>
      <c r="G54" t="s">
        <v>18</v>
      </c>
      <c r="H54">
        <v>609</v>
      </c>
    </row>
    <row r="55" spans="1:8" x14ac:dyDescent="0.3">
      <c r="A55" s="1">
        <v>46154</v>
      </c>
      <c r="B55" t="s">
        <v>8</v>
      </c>
      <c r="C55" t="s">
        <v>14</v>
      </c>
      <c r="D55" t="s">
        <v>15</v>
      </c>
      <c r="E55" t="s">
        <v>16</v>
      </c>
      <c r="F55" t="s">
        <v>17</v>
      </c>
      <c r="G55" t="s">
        <v>25</v>
      </c>
      <c r="H55">
        <v>910</v>
      </c>
    </row>
    <row r="56" spans="1:8" x14ac:dyDescent="0.3">
      <c r="A56" s="1">
        <v>46154</v>
      </c>
      <c r="B56" t="s">
        <v>8</v>
      </c>
      <c r="C56" t="s">
        <v>35</v>
      </c>
      <c r="D56" t="s">
        <v>52</v>
      </c>
      <c r="E56" t="s">
        <v>53</v>
      </c>
      <c r="F56" t="s">
        <v>17</v>
      </c>
      <c r="G56" t="s">
        <v>18</v>
      </c>
      <c r="H56">
        <v>1110</v>
      </c>
    </row>
    <row r="57" spans="1:8" x14ac:dyDescent="0.3">
      <c r="A57" s="1">
        <v>46154</v>
      </c>
      <c r="B57" t="s">
        <v>8</v>
      </c>
      <c r="C57" t="s">
        <v>19</v>
      </c>
      <c r="D57" t="s">
        <v>44</v>
      </c>
      <c r="E57" t="s">
        <v>45</v>
      </c>
      <c r="F57" t="s">
        <v>17</v>
      </c>
      <c r="G57" t="s">
        <v>29</v>
      </c>
      <c r="H57">
        <v>1142</v>
      </c>
    </row>
    <row r="58" spans="1:8" x14ac:dyDescent="0.3">
      <c r="A58" s="1">
        <v>46154</v>
      </c>
      <c r="B58" t="s">
        <v>8</v>
      </c>
      <c r="C58" t="s">
        <v>14</v>
      </c>
      <c r="D58" t="s">
        <v>30</v>
      </c>
      <c r="E58" t="s">
        <v>31</v>
      </c>
      <c r="F58" t="s">
        <v>17</v>
      </c>
      <c r="G58" t="s">
        <v>29</v>
      </c>
      <c r="H58">
        <v>1136</v>
      </c>
    </row>
    <row r="59" spans="1:8" x14ac:dyDescent="0.3">
      <c r="A59" s="1">
        <v>46154</v>
      </c>
      <c r="B59" t="s">
        <v>8</v>
      </c>
      <c r="C59" t="s">
        <v>14</v>
      </c>
      <c r="D59" t="s">
        <v>56</v>
      </c>
      <c r="E59" t="s">
        <v>57</v>
      </c>
      <c r="F59" t="s">
        <v>17</v>
      </c>
      <c r="G59" t="s">
        <v>29</v>
      </c>
      <c r="H59">
        <v>213</v>
      </c>
    </row>
    <row r="60" spans="1:8" x14ac:dyDescent="0.3">
      <c r="A60" s="1">
        <v>46155</v>
      </c>
      <c r="B60" t="s">
        <v>8</v>
      </c>
      <c r="C60" t="s">
        <v>19</v>
      </c>
      <c r="D60" t="s">
        <v>20</v>
      </c>
      <c r="E60" t="s">
        <v>21</v>
      </c>
      <c r="F60" t="s">
        <v>17</v>
      </c>
      <c r="G60" t="s">
        <v>29</v>
      </c>
      <c r="H60">
        <v>476</v>
      </c>
    </row>
    <row r="61" spans="1:8" x14ac:dyDescent="0.3">
      <c r="A61" s="1">
        <v>46155</v>
      </c>
      <c r="B61" t="s">
        <v>8</v>
      </c>
      <c r="C61" t="s">
        <v>19</v>
      </c>
      <c r="D61" t="s">
        <v>20</v>
      </c>
      <c r="E61" t="s">
        <v>21</v>
      </c>
      <c r="F61" t="s">
        <v>17</v>
      </c>
      <c r="G61" t="s">
        <v>29</v>
      </c>
      <c r="H61">
        <v>1256</v>
      </c>
    </row>
    <row r="62" spans="1:8" x14ac:dyDescent="0.3">
      <c r="A62" s="1">
        <v>46155</v>
      </c>
      <c r="B62" t="s">
        <v>8</v>
      </c>
      <c r="C62" t="s">
        <v>26</v>
      </c>
      <c r="D62" t="s">
        <v>27</v>
      </c>
      <c r="E62" t="s">
        <v>28</v>
      </c>
      <c r="F62" t="s">
        <v>17</v>
      </c>
      <c r="G62" t="s">
        <v>25</v>
      </c>
      <c r="H62">
        <v>200</v>
      </c>
    </row>
    <row r="63" spans="1:8" x14ac:dyDescent="0.3">
      <c r="A63" s="1">
        <v>46155</v>
      </c>
      <c r="B63" t="s">
        <v>8</v>
      </c>
      <c r="C63" t="s">
        <v>14</v>
      </c>
      <c r="D63" t="s">
        <v>15</v>
      </c>
      <c r="E63" t="s">
        <v>16</v>
      </c>
      <c r="F63" t="s">
        <v>17</v>
      </c>
      <c r="G63" t="s">
        <v>29</v>
      </c>
      <c r="H63">
        <v>718</v>
      </c>
    </row>
    <row r="64" spans="1:8" x14ac:dyDescent="0.3">
      <c r="A64" s="1">
        <v>46155</v>
      </c>
      <c r="B64" t="s">
        <v>8</v>
      </c>
      <c r="C64" t="s">
        <v>14</v>
      </c>
      <c r="D64" t="s">
        <v>42</v>
      </c>
      <c r="E64" t="s">
        <v>43</v>
      </c>
      <c r="F64" t="s">
        <v>17</v>
      </c>
      <c r="G64" t="s">
        <v>25</v>
      </c>
      <c r="H64">
        <v>1030</v>
      </c>
    </row>
    <row r="65" spans="1:8" x14ac:dyDescent="0.3">
      <c r="A65" s="1">
        <v>46156</v>
      </c>
      <c r="B65" t="s">
        <v>8</v>
      </c>
      <c r="C65" t="s">
        <v>26</v>
      </c>
      <c r="D65" t="s">
        <v>46</v>
      </c>
      <c r="E65" t="s">
        <v>47</v>
      </c>
      <c r="F65" t="s">
        <v>17</v>
      </c>
      <c r="G65" t="s">
        <v>25</v>
      </c>
      <c r="H65">
        <v>1112</v>
      </c>
    </row>
    <row r="66" spans="1:8" x14ac:dyDescent="0.3">
      <c r="A66" s="1">
        <v>46156</v>
      </c>
      <c r="B66" t="s">
        <v>8</v>
      </c>
      <c r="C66" t="s">
        <v>35</v>
      </c>
      <c r="D66" t="s">
        <v>52</v>
      </c>
      <c r="E66" t="s">
        <v>53</v>
      </c>
      <c r="F66" t="s">
        <v>17</v>
      </c>
      <c r="G66" t="s">
        <v>18</v>
      </c>
      <c r="H66">
        <v>981</v>
      </c>
    </row>
    <row r="67" spans="1:8" x14ac:dyDescent="0.3">
      <c r="A67" s="1">
        <v>46156</v>
      </c>
      <c r="B67" t="s">
        <v>8</v>
      </c>
      <c r="C67" t="s">
        <v>35</v>
      </c>
      <c r="D67" t="s">
        <v>36</v>
      </c>
      <c r="E67" t="s">
        <v>37</v>
      </c>
      <c r="F67" t="s">
        <v>17</v>
      </c>
      <c r="G67" t="s">
        <v>18</v>
      </c>
      <c r="H67">
        <v>1274</v>
      </c>
    </row>
    <row r="68" spans="1:8" x14ac:dyDescent="0.3">
      <c r="A68" s="1">
        <v>46156</v>
      </c>
      <c r="B68" t="s">
        <v>8</v>
      </c>
      <c r="C68" t="s">
        <v>26</v>
      </c>
      <c r="D68" t="s">
        <v>46</v>
      </c>
      <c r="E68" t="s">
        <v>47</v>
      </c>
      <c r="F68" t="s">
        <v>17</v>
      </c>
      <c r="G68" t="s">
        <v>29</v>
      </c>
      <c r="H68">
        <v>266</v>
      </c>
    </row>
    <row r="69" spans="1:8" x14ac:dyDescent="0.3">
      <c r="A69" s="1">
        <v>46156</v>
      </c>
      <c r="B69" t="s">
        <v>8</v>
      </c>
      <c r="C69" t="s">
        <v>22</v>
      </c>
      <c r="D69" t="s">
        <v>50</v>
      </c>
      <c r="E69" t="s">
        <v>51</v>
      </c>
      <c r="F69" t="s">
        <v>17</v>
      </c>
      <c r="G69" t="s">
        <v>18</v>
      </c>
      <c r="H69">
        <v>568</v>
      </c>
    </row>
    <row r="70" spans="1:8" x14ac:dyDescent="0.3">
      <c r="A70" s="1">
        <v>46157</v>
      </c>
      <c r="B70" t="s">
        <v>8</v>
      </c>
      <c r="C70" t="s">
        <v>26</v>
      </c>
      <c r="D70" t="s">
        <v>27</v>
      </c>
      <c r="E70" t="s">
        <v>28</v>
      </c>
      <c r="F70" t="s">
        <v>17</v>
      </c>
      <c r="G70" t="s">
        <v>29</v>
      </c>
      <c r="H70">
        <v>761</v>
      </c>
    </row>
    <row r="71" spans="1:8" x14ac:dyDescent="0.3">
      <c r="A71" s="1">
        <v>46157</v>
      </c>
      <c r="B71" t="s">
        <v>8</v>
      </c>
      <c r="C71" t="s">
        <v>19</v>
      </c>
      <c r="D71" t="s">
        <v>44</v>
      </c>
      <c r="E71" t="s">
        <v>45</v>
      </c>
      <c r="F71" t="s">
        <v>17</v>
      </c>
      <c r="G71" t="s">
        <v>25</v>
      </c>
      <c r="H71">
        <v>516</v>
      </c>
    </row>
    <row r="72" spans="1:8" x14ac:dyDescent="0.3">
      <c r="A72" s="1">
        <v>46157</v>
      </c>
      <c r="B72" t="s">
        <v>8</v>
      </c>
      <c r="C72" t="s">
        <v>14</v>
      </c>
      <c r="D72" t="s">
        <v>42</v>
      </c>
      <c r="E72" t="s">
        <v>43</v>
      </c>
      <c r="F72" t="s">
        <v>17</v>
      </c>
      <c r="G72" t="s">
        <v>29</v>
      </c>
      <c r="H72">
        <v>1483</v>
      </c>
    </row>
    <row r="73" spans="1:8" x14ac:dyDescent="0.3">
      <c r="A73" s="1">
        <v>46157</v>
      </c>
      <c r="B73" t="s">
        <v>8</v>
      </c>
      <c r="C73" t="s">
        <v>14</v>
      </c>
      <c r="D73" t="s">
        <v>15</v>
      </c>
      <c r="E73" t="s">
        <v>16</v>
      </c>
      <c r="F73" t="s">
        <v>17</v>
      </c>
      <c r="G73" t="s">
        <v>18</v>
      </c>
      <c r="H73">
        <v>1035</v>
      </c>
    </row>
    <row r="74" spans="1:8" x14ac:dyDescent="0.3">
      <c r="A74" s="1">
        <v>46157</v>
      </c>
      <c r="B74" t="s">
        <v>8</v>
      </c>
      <c r="C74" t="s">
        <v>19</v>
      </c>
      <c r="D74" t="s">
        <v>44</v>
      </c>
      <c r="E74" t="s">
        <v>45</v>
      </c>
      <c r="F74" t="s">
        <v>17</v>
      </c>
      <c r="G74" t="s">
        <v>18</v>
      </c>
      <c r="H74">
        <v>559</v>
      </c>
    </row>
    <row r="75" spans="1:8" x14ac:dyDescent="0.3">
      <c r="A75" s="1">
        <v>46157</v>
      </c>
      <c r="B75" t="s">
        <v>8</v>
      </c>
      <c r="C75" t="s">
        <v>14</v>
      </c>
      <c r="D75" t="s">
        <v>42</v>
      </c>
      <c r="E75" t="s">
        <v>43</v>
      </c>
      <c r="F75" t="s">
        <v>17</v>
      </c>
      <c r="G75" t="s">
        <v>25</v>
      </c>
      <c r="H75">
        <v>726</v>
      </c>
    </row>
    <row r="76" spans="1:8" x14ac:dyDescent="0.3">
      <c r="A76" s="1">
        <v>46158</v>
      </c>
      <c r="B76" t="s">
        <v>8</v>
      </c>
      <c r="C76" t="s">
        <v>26</v>
      </c>
      <c r="D76" t="s">
        <v>27</v>
      </c>
      <c r="E76" t="s">
        <v>28</v>
      </c>
      <c r="F76" t="s">
        <v>17</v>
      </c>
      <c r="G76" t="s">
        <v>18</v>
      </c>
      <c r="H76">
        <v>607</v>
      </c>
    </row>
    <row r="77" spans="1:8" x14ac:dyDescent="0.3">
      <c r="A77" s="1">
        <v>46158</v>
      </c>
      <c r="B77" t="s">
        <v>8</v>
      </c>
      <c r="C77" t="s">
        <v>19</v>
      </c>
      <c r="D77" t="s">
        <v>20</v>
      </c>
      <c r="E77" t="s">
        <v>21</v>
      </c>
      <c r="F77" t="s">
        <v>17</v>
      </c>
      <c r="G77" t="s">
        <v>25</v>
      </c>
      <c r="H77">
        <v>873</v>
      </c>
    </row>
    <row r="78" spans="1:8" x14ac:dyDescent="0.3">
      <c r="A78" s="1">
        <v>46158</v>
      </c>
      <c r="B78" t="s">
        <v>8</v>
      </c>
      <c r="C78" t="s">
        <v>26</v>
      </c>
      <c r="D78" t="s">
        <v>54</v>
      </c>
      <c r="E78" t="s">
        <v>55</v>
      </c>
      <c r="F78" t="s">
        <v>17</v>
      </c>
      <c r="G78" t="s">
        <v>29</v>
      </c>
      <c r="H78">
        <v>274</v>
      </c>
    </row>
    <row r="79" spans="1:8" x14ac:dyDescent="0.3">
      <c r="A79" s="1">
        <v>46158</v>
      </c>
      <c r="B79" t="s">
        <v>8</v>
      </c>
      <c r="C79" t="s">
        <v>35</v>
      </c>
      <c r="D79" t="s">
        <v>52</v>
      </c>
      <c r="E79" t="s">
        <v>53</v>
      </c>
      <c r="F79" t="s">
        <v>17</v>
      </c>
      <c r="G79" t="s">
        <v>25</v>
      </c>
      <c r="H79">
        <v>1265</v>
      </c>
    </row>
    <row r="80" spans="1:8" x14ac:dyDescent="0.3">
      <c r="A80" s="1">
        <v>46158</v>
      </c>
      <c r="B80" t="s">
        <v>8</v>
      </c>
      <c r="C80" t="s">
        <v>22</v>
      </c>
      <c r="D80" t="s">
        <v>23</v>
      </c>
      <c r="E80" t="s">
        <v>24</v>
      </c>
      <c r="F80" t="s">
        <v>17</v>
      </c>
      <c r="G80" t="s">
        <v>25</v>
      </c>
      <c r="H80">
        <v>407</v>
      </c>
    </row>
    <row r="81" spans="1:8" x14ac:dyDescent="0.3">
      <c r="A81" s="1">
        <v>46158</v>
      </c>
      <c r="B81" t="s">
        <v>8</v>
      </c>
      <c r="C81" t="s">
        <v>26</v>
      </c>
      <c r="D81" t="s">
        <v>27</v>
      </c>
      <c r="E81" t="s">
        <v>28</v>
      </c>
      <c r="F81" t="s">
        <v>17</v>
      </c>
      <c r="G81" t="s">
        <v>29</v>
      </c>
      <c r="H81">
        <v>212</v>
      </c>
    </row>
    <row r="82" spans="1:8" x14ac:dyDescent="0.3">
      <c r="A82" s="1">
        <v>46159</v>
      </c>
      <c r="B82" t="s">
        <v>8</v>
      </c>
      <c r="C82" t="s">
        <v>14</v>
      </c>
      <c r="D82" t="s">
        <v>56</v>
      </c>
      <c r="E82" t="s">
        <v>57</v>
      </c>
      <c r="F82" t="s">
        <v>17</v>
      </c>
      <c r="G82" t="s">
        <v>18</v>
      </c>
      <c r="H82">
        <v>374</v>
      </c>
    </row>
    <row r="83" spans="1:8" x14ac:dyDescent="0.3">
      <c r="A83" s="1">
        <v>46159</v>
      </c>
      <c r="B83" t="s">
        <v>8</v>
      </c>
      <c r="C83" t="s">
        <v>22</v>
      </c>
      <c r="D83" t="s">
        <v>23</v>
      </c>
      <c r="E83" t="s">
        <v>24</v>
      </c>
      <c r="F83" t="s">
        <v>17</v>
      </c>
      <c r="G83" t="s">
        <v>29</v>
      </c>
      <c r="H83">
        <v>1277</v>
      </c>
    </row>
    <row r="84" spans="1:8" x14ac:dyDescent="0.3">
      <c r="A84" s="1">
        <v>46159</v>
      </c>
      <c r="B84" t="s">
        <v>8</v>
      </c>
      <c r="C84" t="s">
        <v>26</v>
      </c>
      <c r="D84" t="s">
        <v>54</v>
      </c>
      <c r="E84" t="s">
        <v>55</v>
      </c>
      <c r="F84" t="s">
        <v>17</v>
      </c>
      <c r="G84" t="s">
        <v>25</v>
      </c>
      <c r="H84">
        <v>1069</v>
      </c>
    </row>
    <row r="85" spans="1:8" x14ac:dyDescent="0.3">
      <c r="A85" s="1">
        <v>46160</v>
      </c>
      <c r="B85" t="s">
        <v>8</v>
      </c>
      <c r="C85" t="s">
        <v>35</v>
      </c>
      <c r="D85" t="s">
        <v>48</v>
      </c>
      <c r="E85" t="s">
        <v>49</v>
      </c>
      <c r="F85" t="s">
        <v>17</v>
      </c>
      <c r="G85" t="s">
        <v>29</v>
      </c>
      <c r="H85">
        <v>119</v>
      </c>
    </row>
    <row r="86" spans="1:8" x14ac:dyDescent="0.3">
      <c r="A86" s="1">
        <v>46160</v>
      </c>
      <c r="B86" t="s">
        <v>8</v>
      </c>
      <c r="C86" t="s">
        <v>35</v>
      </c>
      <c r="D86" t="s">
        <v>36</v>
      </c>
      <c r="E86" t="s">
        <v>37</v>
      </c>
      <c r="F86" t="s">
        <v>17</v>
      </c>
      <c r="G86" t="s">
        <v>29</v>
      </c>
      <c r="H86">
        <v>1155</v>
      </c>
    </row>
    <row r="87" spans="1:8" x14ac:dyDescent="0.3">
      <c r="A87" s="1">
        <v>46160</v>
      </c>
      <c r="B87" t="s">
        <v>8</v>
      </c>
      <c r="C87" t="s">
        <v>14</v>
      </c>
      <c r="D87" t="s">
        <v>42</v>
      </c>
      <c r="E87" t="s">
        <v>43</v>
      </c>
      <c r="F87" t="s">
        <v>17</v>
      </c>
      <c r="G87" t="s">
        <v>29</v>
      </c>
      <c r="H87">
        <v>1427</v>
      </c>
    </row>
    <row r="88" spans="1:8" x14ac:dyDescent="0.3">
      <c r="A88" s="1">
        <v>46160</v>
      </c>
      <c r="B88" t="s">
        <v>8</v>
      </c>
      <c r="C88" t="s">
        <v>14</v>
      </c>
      <c r="D88" t="s">
        <v>15</v>
      </c>
      <c r="E88" t="s">
        <v>16</v>
      </c>
      <c r="F88" t="s">
        <v>17</v>
      </c>
      <c r="G88" t="s">
        <v>25</v>
      </c>
      <c r="H88">
        <v>1319</v>
      </c>
    </row>
    <row r="89" spans="1:8" x14ac:dyDescent="0.3">
      <c r="A89" s="1">
        <v>46160</v>
      </c>
      <c r="B89" t="s">
        <v>8</v>
      </c>
      <c r="C89" t="s">
        <v>26</v>
      </c>
      <c r="D89" t="s">
        <v>27</v>
      </c>
      <c r="E89" t="s">
        <v>28</v>
      </c>
      <c r="F89" t="s">
        <v>17</v>
      </c>
      <c r="G89" t="s">
        <v>18</v>
      </c>
      <c r="H89">
        <v>1345</v>
      </c>
    </row>
    <row r="90" spans="1:8" x14ac:dyDescent="0.3">
      <c r="A90" s="1">
        <v>46161</v>
      </c>
      <c r="B90" t="s">
        <v>8</v>
      </c>
      <c r="C90" t="s">
        <v>26</v>
      </c>
      <c r="D90" t="s">
        <v>27</v>
      </c>
      <c r="E90" t="s">
        <v>28</v>
      </c>
      <c r="F90" t="s">
        <v>17</v>
      </c>
      <c r="G90" t="s">
        <v>25</v>
      </c>
      <c r="H90">
        <v>1464</v>
      </c>
    </row>
    <row r="91" spans="1:8" x14ac:dyDescent="0.3">
      <c r="A91" s="1">
        <v>46161</v>
      </c>
      <c r="B91" t="s">
        <v>8</v>
      </c>
      <c r="C91" t="s">
        <v>35</v>
      </c>
      <c r="D91" t="s">
        <v>48</v>
      </c>
      <c r="E91" t="s">
        <v>49</v>
      </c>
      <c r="F91" t="s">
        <v>17</v>
      </c>
      <c r="G91" t="s">
        <v>25</v>
      </c>
      <c r="H91">
        <v>697</v>
      </c>
    </row>
    <row r="92" spans="1:8" x14ac:dyDescent="0.3">
      <c r="A92" s="1">
        <v>46161</v>
      </c>
      <c r="B92" t="s">
        <v>8</v>
      </c>
      <c r="C92" t="s">
        <v>26</v>
      </c>
      <c r="D92" t="s">
        <v>54</v>
      </c>
      <c r="E92" t="s">
        <v>55</v>
      </c>
      <c r="F92" t="s">
        <v>17</v>
      </c>
      <c r="G92" t="s">
        <v>18</v>
      </c>
      <c r="H92">
        <v>833</v>
      </c>
    </row>
    <row r="93" spans="1:8" x14ac:dyDescent="0.3">
      <c r="A93" s="1">
        <v>46161</v>
      </c>
      <c r="B93" t="s">
        <v>8</v>
      </c>
      <c r="C93" t="s">
        <v>26</v>
      </c>
      <c r="D93" t="s">
        <v>46</v>
      </c>
      <c r="E93" t="s">
        <v>47</v>
      </c>
      <c r="F93" t="s">
        <v>17</v>
      </c>
      <c r="G93" t="s">
        <v>18</v>
      </c>
      <c r="H93">
        <v>173</v>
      </c>
    </row>
    <row r="94" spans="1:8" x14ac:dyDescent="0.3">
      <c r="A94" s="1">
        <v>46161</v>
      </c>
      <c r="B94" t="s">
        <v>8</v>
      </c>
      <c r="C94" t="s">
        <v>26</v>
      </c>
      <c r="D94" t="s">
        <v>54</v>
      </c>
      <c r="E94" t="s">
        <v>55</v>
      </c>
      <c r="F94" t="s">
        <v>17</v>
      </c>
      <c r="G94" t="s">
        <v>25</v>
      </c>
      <c r="H94">
        <v>84</v>
      </c>
    </row>
    <row r="95" spans="1:8" x14ac:dyDescent="0.3">
      <c r="A95" s="1">
        <v>46161</v>
      </c>
      <c r="B95" t="s">
        <v>8</v>
      </c>
      <c r="C95" t="s">
        <v>26</v>
      </c>
      <c r="D95" t="s">
        <v>46</v>
      </c>
      <c r="E95" t="s">
        <v>47</v>
      </c>
      <c r="F95" t="s">
        <v>17</v>
      </c>
      <c r="G95" t="s">
        <v>18</v>
      </c>
      <c r="H95">
        <v>174</v>
      </c>
    </row>
    <row r="96" spans="1:8" x14ac:dyDescent="0.3">
      <c r="A96" s="1">
        <v>46161</v>
      </c>
      <c r="B96" t="s">
        <v>8</v>
      </c>
      <c r="C96" t="s">
        <v>26</v>
      </c>
      <c r="D96" t="s">
        <v>27</v>
      </c>
      <c r="E96" t="s">
        <v>28</v>
      </c>
      <c r="F96" t="s">
        <v>17</v>
      </c>
      <c r="G96" t="s">
        <v>25</v>
      </c>
      <c r="H96">
        <v>373</v>
      </c>
    </row>
    <row r="97" spans="1:8" x14ac:dyDescent="0.3">
      <c r="A97" s="1">
        <v>46162</v>
      </c>
      <c r="B97" t="s">
        <v>8</v>
      </c>
      <c r="C97" t="s">
        <v>26</v>
      </c>
      <c r="D97" t="s">
        <v>54</v>
      </c>
      <c r="E97" t="s">
        <v>55</v>
      </c>
      <c r="F97" t="s">
        <v>17</v>
      </c>
      <c r="G97" t="s">
        <v>29</v>
      </c>
      <c r="H97">
        <v>817</v>
      </c>
    </row>
    <row r="98" spans="1:8" x14ac:dyDescent="0.3">
      <c r="A98" s="1">
        <v>46162</v>
      </c>
      <c r="B98" t="s">
        <v>8</v>
      </c>
      <c r="C98" t="s">
        <v>19</v>
      </c>
      <c r="D98" t="s">
        <v>20</v>
      </c>
      <c r="E98" t="s">
        <v>21</v>
      </c>
      <c r="F98" t="s">
        <v>17</v>
      </c>
      <c r="G98" t="s">
        <v>25</v>
      </c>
      <c r="H98">
        <v>120</v>
      </c>
    </row>
    <row r="99" spans="1:8" x14ac:dyDescent="0.3">
      <c r="A99" s="1">
        <v>46162</v>
      </c>
      <c r="B99" t="s">
        <v>8</v>
      </c>
      <c r="C99" t="s">
        <v>22</v>
      </c>
      <c r="D99" t="s">
        <v>23</v>
      </c>
      <c r="E99" t="s">
        <v>24</v>
      </c>
      <c r="F99" t="s">
        <v>17</v>
      </c>
      <c r="G99" t="s">
        <v>25</v>
      </c>
      <c r="H99">
        <v>1343</v>
      </c>
    </row>
    <row r="100" spans="1:8" x14ac:dyDescent="0.3">
      <c r="A100" s="1">
        <v>46162</v>
      </c>
      <c r="B100" t="s">
        <v>8</v>
      </c>
      <c r="C100" t="s">
        <v>35</v>
      </c>
      <c r="D100" t="s">
        <v>36</v>
      </c>
      <c r="E100" t="s">
        <v>37</v>
      </c>
      <c r="F100" t="s">
        <v>17</v>
      </c>
      <c r="G100" t="s">
        <v>18</v>
      </c>
      <c r="H100">
        <v>576</v>
      </c>
    </row>
    <row r="101" spans="1:8" x14ac:dyDescent="0.3">
      <c r="A101" s="1">
        <v>46162</v>
      </c>
      <c r="B101" t="s">
        <v>8</v>
      </c>
      <c r="C101" t="s">
        <v>22</v>
      </c>
      <c r="D101" t="s">
        <v>23</v>
      </c>
      <c r="E101" t="s">
        <v>24</v>
      </c>
      <c r="F101" t="s">
        <v>17</v>
      </c>
      <c r="G101" t="s">
        <v>18</v>
      </c>
      <c r="H101">
        <v>752</v>
      </c>
    </row>
    <row r="102" spans="1:8" x14ac:dyDescent="0.3">
      <c r="A102" s="1">
        <v>46162</v>
      </c>
      <c r="B102" t="s">
        <v>8</v>
      </c>
      <c r="C102" t="s">
        <v>26</v>
      </c>
      <c r="D102" t="s">
        <v>40</v>
      </c>
      <c r="E102" t="s">
        <v>41</v>
      </c>
      <c r="F102" t="s">
        <v>17</v>
      </c>
      <c r="G102" t="s">
        <v>18</v>
      </c>
      <c r="H102">
        <v>271</v>
      </c>
    </row>
    <row r="103" spans="1:8" x14ac:dyDescent="0.3">
      <c r="A103" s="1">
        <v>46163</v>
      </c>
      <c r="B103" t="s">
        <v>8</v>
      </c>
      <c r="C103" t="s">
        <v>26</v>
      </c>
      <c r="D103" t="s">
        <v>40</v>
      </c>
      <c r="E103" t="s">
        <v>41</v>
      </c>
      <c r="F103" t="s">
        <v>17</v>
      </c>
      <c r="G103" t="s">
        <v>25</v>
      </c>
      <c r="H103">
        <v>1138</v>
      </c>
    </row>
    <row r="104" spans="1:8" x14ac:dyDescent="0.3">
      <c r="A104" s="1">
        <v>46163</v>
      </c>
      <c r="B104" t="s">
        <v>8</v>
      </c>
      <c r="C104" t="s">
        <v>19</v>
      </c>
      <c r="D104" t="s">
        <v>38</v>
      </c>
      <c r="E104" t="s">
        <v>39</v>
      </c>
      <c r="F104" t="s">
        <v>17</v>
      </c>
      <c r="G104" t="s">
        <v>18</v>
      </c>
      <c r="H104">
        <v>932</v>
      </c>
    </row>
    <row r="105" spans="1:8" x14ac:dyDescent="0.3">
      <c r="A105" s="1">
        <v>46163</v>
      </c>
      <c r="B105" t="s">
        <v>8</v>
      </c>
      <c r="C105" t="s">
        <v>26</v>
      </c>
      <c r="D105" t="s">
        <v>40</v>
      </c>
      <c r="E105" t="s">
        <v>41</v>
      </c>
      <c r="F105" t="s">
        <v>17</v>
      </c>
      <c r="G105" t="s">
        <v>25</v>
      </c>
      <c r="H105">
        <v>413</v>
      </c>
    </row>
    <row r="106" spans="1:8" x14ac:dyDescent="0.3">
      <c r="A106" s="1">
        <v>46163</v>
      </c>
      <c r="B106" t="s">
        <v>8</v>
      </c>
      <c r="C106" t="s">
        <v>35</v>
      </c>
      <c r="D106" t="s">
        <v>52</v>
      </c>
      <c r="E106" t="s">
        <v>53</v>
      </c>
      <c r="F106" t="s">
        <v>17</v>
      </c>
      <c r="G106" t="s">
        <v>29</v>
      </c>
      <c r="H106">
        <v>1041</v>
      </c>
    </row>
    <row r="107" spans="1:8" x14ac:dyDescent="0.3">
      <c r="A107" s="1">
        <v>46163</v>
      </c>
      <c r="B107" t="s">
        <v>8</v>
      </c>
      <c r="C107" t="s">
        <v>26</v>
      </c>
      <c r="D107" t="s">
        <v>27</v>
      </c>
      <c r="E107" t="s">
        <v>28</v>
      </c>
      <c r="F107" t="s">
        <v>17</v>
      </c>
      <c r="G107" t="s">
        <v>29</v>
      </c>
      <c r="H107">
        <v>685</v>
      </c>
    </row>
    <row r="108" spans="1:8" x14ac:dyDescent="0.3">
      <c r="A108" s="1">
        <v>46163</v>
      </c>
      <c r="B108" t="s">
        <v>8</v>
      </c>
      <c r="C108" t="s">
        <v>26</v>
      </c>
      <c r="D108" t="s">
        <v>46</v>
      </c>
      <c r="E108" t="s">
        <v>47</v>
      </c>
      <c r="F108" t="s">
        <v>17</v>
      </c>
      <c r="G108" t="s">
        <v>25</v>
      </c>
      <c r="H108">
        <v>466</v>
      </c>
    </row>
    <row r="109" spans="1:8" x14ac:dyDescent="0.3">
      <c r="A109" s="1">
        <v>46164</v>
      </c>
      <c r="B109" t="s">
        <v>8</v>
      </c>
      <c r="C109" t="s">
        <v>19</v>
      </c>
      <c r="D109" t="s">
        <v>38</v>
      </c>
      <c r="E109" t="s">
        <v>39</v>
      </c>
      <c r="F109" t="s">
        <v>17</v>
      </c>
      <c r="G109" t="s">
        <v>25</v>
      </c>
      <c r="H109">
        <v>127</v>
      </c>
    </row>
    <row r="110" spans="1:8" x14ac:dyDescent="0.3">
      <c r="A110" s="1">
        <v>46164</v>
      </c>
      <c r="B110" t="s">
        <v>8</v>
      </c>
      <c r="C110" t="s">
        <v>35</v>
      </c>
      <c r="D110" t="s">
        <v>52</v>
      </c>
      <c r="E110" t="s">
        <v>53</v>
      </c>
      <c r="F110" t="s">
        <v>17</v>
      </c>
      <c r="G110" t="s">
        <v>25</v>
      </c>
      <c r="H110">
        <v>646</v>
      </c>
    </row>
    <row r="111" spans="1:8" x14ac:dyDescent="0.3">
      <c r="A111" s="1">
        <v>46164</v>
      </c>
      <c r="B111" t="s">
        <v>8</v>
      </c>
      <c r="C111" t="s">
        <v>14</v>
      </c>
      <c r="D111" t="s">
        <v>56</v>
      </c>
      <c r="E111" t="s">
        <v>57</v>
      </c>
      <c r="F111" t="s">
        <v>17</v>
      </c>
      <c r="G111" t="s">
        <v>29</v>
      </c>
      <c r="H111">
        <v>630</v>
      </c>
    </row>
    <row r="112" spans="1:8" x14ac:dyDescent="0.3">
      <c r="A112" s="1">
        <v>46164</v>
      </c>
      <c r="B112" t="s">
        <v>8</v>
      </c>
      <c r="C112" t="s">
        <v>26</v>
      </c>
      <c r="D112" t="s">
        <v>46</v>
      </c>
      <c r="E112" t="s">
        <v>47</v>
      </c>
      <c r="F112" t="s">
        <v>17</v>
      </c>
      <c r="G112" t="s">
        <v>18</v>
      </c>
      <c r="H112">
        <v>426</v>
      </c>
    </row>
    <row r="113" spans="1:8" x14ac:dyDescent="0.3">
      <c r="A113" s="1">
        <v>46164</v>
      </c>
      <c r="B113" t="s">
        <v>8</v>
      </c>
      <c r="C113" t="s">
        <v>26</v>
      </c>
      <c r="D113" t="s">
        <v>54</v>
      </c>
      <c r="E113" t="s">
        <v>55</v>
      </c>
      <c r="F113" t="s">
        <v>17</v>
      </c>
      <c r="G113" t="s">
        <v>18</v>
      </c>
      <c r="H113">
        <v>566</v>
      </c>
    </row>
    <row r="114" spans="1:8" x14ac:dyDescent="0.3">
      <c r="A114" s="1">
        <v>46164</v>
      </c>
      <c r="B114" t="s">
        <v>8</v>
      </c>
      <c r="C114" t="s">
        <v>19</v>
      </c>
      <c r="D114" t="s">
        <v>44</v>
      </c>
      <c r="E114" t="s">
        <v>45</v>
      </c>
      <c r="F114" t="s">
        <v>17</v>
      </c>
      <c r="G114" t="s">
        <v>18</v>
      </c>
      <c r="H114">
        <v>1221</v>
      </c>
    </row>
    <row r="115" spans="1:8" x14ac:dyDescent="0.3">
      <c r="A115" s="1">
        <v>46165</v>
      </c>
      <c r="B115" t="s">
        <v>8</v>
      </c>
      <c r="C115" t="s">
        <v>14</v>
      </c>
      <c r="D115" t="s">
        <v>30</v>
      </c>
      <c r="E115" t="s">
        <v>31</v>
      </c>
      <c r="F115" t="s">
        <v>17</v>
      </c>
      <c r="G115" t="s">
        <v>25</v>
      </c>
      <c r="H115">
        <v>1225</v>
      </c>
    </row>
    <row r="116" spans="1:8" x14ac:dyDescent="0.3">
      <c r="A116" s="1">
        <v>46165</v>
      </c>
      <c r="B116" t="s">
        <v>8</v>
      </c>
      <c r="C116" t="s">
        <v>26</v>
      </c>
      <c r="D116" t="s">
        <v>40</v>
      </c>
      <c r="E116" t="s">
        <v>41</v>
      </c>
      <c r="F116" t="s">
        <v>17</v>
      </c>
      <c r="G116" t="s">
        <v>29</v>
      </c>
      <c r="H116">
        <v>1061</v>
      </c>
    </row>
    <row r="117" spans="1:8" x14ac:dyDescent="0.3">
      <c r="A117" s="1">
        <v>46165</v>
      </c>
      <c r="B117" t="s">
        <v>8</v>
      </c>
      <c r="C117" t="s">
        <v>22</v>
      </c>
      <c r="D117" t="s">
        <v>23</v>
      </c>
      <c r="E117" t="s">
        <v>24</v>
      </c>
      <c r="F117" t="s">
        <v>17</v>
      </c>
      <c r="G117" t="s">
        <v>29</v>
      </c>
      <c r="H117">
        <v>961</v>
      </c>
    </row>
    <row r="118" spans="1:8" x14ac:dyDescent="0.3">
      <c r="A118" s="1">
        <v>46166</v>
      </c>
      <c r="B118" t="s">
        <v>8</v>
      </c>
      <c r="C118" t="s">
        <v>26</v>
      </c>
      <c r="D118" t="s">
        <v>27</v>
      </c>
      <c r="E118" t="s">
        <v>28</v>
      </c>
      <c r="F118" t="s">
        <v>17</v>
      </c>
      <c r="G118" t="s">
        <v>18</v>
      </c>
      <c r="H118">
        <v>981</v>
      </c>
    </row>
    <row r="119" spans="1:8" x14ac:dyDescent="0.3">
      <c r="A119" s="1">
        <v>46166</v>
      </c>
      <c r="B119" t="s">
        <v>8</v>
      </c>
      <c r="C119" t="s">
        <v>22</v>
      </c>
      <c r="D119" t="s">
        <v>23</v>
      </c>
      <c r="E119" t="s">
        <v>24</v>
      </c>
      <c r="F119" t="s">
        <v>17</v>
      </c>
      <c r="G119" t="s">
        <v>18</v>
      </c>
      <c r="H119">
        <v>615</v>
      </c>
    </row>
    <row r="120" spans="1:8" x14ac:dyDescent="0.3">
      <c r="A120" s="1">
        <v>46166</v>
      </c>
      <c r="B120" t="s">
        <v>8</v>
      </c>
      <c r="C120" t="s">
        <v>14</v>
      </c>
      <c r="D120" t="s">
        <v>42</v>
      </c>
      <c r="E120" t="s">
        <v>43</v>
      </c>
      <c r="F120" t="s">
        <v>17</v>
      </c>
      <c r="G120" t="s">
        <v>29</v>
      </c>
      <c r="H120">
        <v>1294</v>
      </c>
    </row>
    <row r="121" spans="1:8" x14ac:dyDescent="0.3">
      <c r="A121" s="1">
        <v>46166</v>
      </c>
      <c r="B121" t="s">
        <v>8</v>
      </c>
      <c r="C121" t="s">
        <v>14</v>
      </c>
      <c r="D121" t="s">
        <v>30</v>
      </c>
      <c r="E121" t="s">
        <v>31</v>
      </c>
      <c r="F121" t="s">
        <v>17</v>
      </c>
      <c r="G121" t="s">
        <v>18</v>
      </c>
      <c r="H121">
        <v>891</v>
      </c>
    </row>
    <row r="122" spans="1:8" x14ac:dyDescent="0.3">
      <c r="A122" s="1">
        <v>46166</v>
      </c>
      <c r="B122" t="s">
        <v>8</v>
      </c>
      <c r="C122" t="s">
        <v>35</v>
      </c>
      <c r="D122" t="s">
        <v>48</v>
      </c>
      <c r="E122" t="s">
        <v>49</v>
      </c>
      <c r="F122" t="s">
        <v>17</v>
      </c>
      <c r="G122" t="s">
        <v>29</v>
      </c>
      <c r="H122">
        <v>1458</v>
      </c>
    </row>
    <row r="123" spans="1:8" x14ac:dyDescent="0.3">
      <c r="A123" s="1">
        <v>46167</v>
      </c>
      <c r="B123" t="s">
        <v>8</v>
      </c>
      <c r="C123" t="s">
        <v>14</v>
      </c>
      <c r="D123" t="s">
        <v>30</v>
      </c>
      <c r="E123" t="s">
        <v>31</v>
      </c>
      <c r="F123" t="s">
        <v>17</v>
      </c>
      <c r="G123" t="s">
        <v>18</v>
      </c>
      <c r="H123">
        <v>912</v>
      </c>
    </row>
    <row r="124" spans="1:8" x14ac:dyDescent="0.3">
      <c r="A124" s="1">
        <v>46167</v>
      </c>
      <c r="B124" t="s">
        <v>8</v>
      </c>
      <c r="C124" t="s">
        <v>14</v>
      </c>
      <c r="D124" t="s">
        <v>30</v>
      </c>
      <c r="E124" t="s">
        <v>31</v>
      </c>
      <c r="F124" t="s">
        <v>17</v>
      </c>
      <c r="G124" t="s">
        <v>29</v>
      </c>
      <c r="H124">
        <v>1203</v>
      </c>
    </row>
    <row r="125" spans="1:8" x14ac:dyDescent="0.3">
      <c r="A125" s="1">
        <v>46167</v>
      </c>
      <c r="B125" t="s">
        <v>8</v>
      </c>
      <c r="C125" t="s">
        <v>26</v>
      </c>
      <c r="D125" t="s">
        <v>27</v>
      </c>
      <c r="E125" t="s">
        <v>28</v>
      </c>
      <c r="F125" t="s">
        <v>17</v>
      </c>
      <c r="G125" t="s">
        <v>29</v>
      </c>
      <c r="H125">
        <v>958</v>
      </c>
    </row>
    <row r="126" spans="1:8" x14ac:dyDescent="0.3">
      <c r="A126" s="1">
        <v>46167</v>
      </c>
      <c r="B126" t="s">
        <v>8</v>
      </c>
      <c r="C126" t="s">
        <v>35</v>
      </c>
      <c r="D126" t="s">
        <v>48</v>
      </c>
      <c r="E126" t="s">
        <v>49</v>
      </c>
      <c r="F126" t="s">
        <v>17</v>
      </c>
      <c r="G126" t="s">
        <v>29</v>
      </c>
      <c r="H126">
        <v>595</v>
      </c>
    </row>
    <row r="127" spans="1:8" x14ac:dyDescent="0.3">
      <c r="A127" s="1">
        <v>46167</v>
      </c>
      <c r="B127" t="s">
        <v>8</v>
      </c>
      <c r="C127" t="s">
        <v>35</v>
      </c>
      <c r="D127" t="s">
        <v>52</v>
      </c>
      <c r="E127" t="s">
        <v>53</v>
      </c>
      <c r="F127" t="s">
        <v>17</v>
      </c>
      <c r="G127" t="s">
        <v>25</v>
      </c>
      <c r="H127">
        <v>100</v>
      </c>
    </row>
    <row r="128" spans="1:8" x14ac:dyDescent="0.3">
      <c r="A128" s="1">
        <v>46168</v>
      </c>
      <c r="B128" t="s">
        <v>8</v>
      </c>
      <c r="C128" t="s">
        <v>26</v>
      </c>
      <c r="D128" t="s">
        <v>27</v>
      </c>
      <c r="E128" t="s">
        <v>28</v>
      </c>
      <c r="F128" t="s">
        <v>17</v>
      </c>
      <c r="G128" t="s">
        <v>25</v>
      </c>
      <c r="H128">
        <v>877</v>
      </c>
    </row>
    <row r="129" spans="1:8" x14ac:dyDescent="0.3">
      <c r="A129" s="1">
        <v>46168</v>
      </c>
      <c r="B129" t="s">
        <v>8</v>
      </c>
      <c r="C129" t="s">
        <v>35</v>
      </c>
      <c r="D129" t="s">
        <v>36</v>
      </c>
      <c r="E129" t="s">
        <v>37</v>
      </c>
      <c r="F129" t="s">
        <v>17</v>
      </c>
      <c r="G129" t="s">
        <v>18</v>
      </c>
      <c r="H129">
        <v>1307</v>
      </c>
    </row>
    <row r="130" spans="1:8" x14ac:dyDescent="0.3">
      <c r="A130" s="1">
        <v>46168</v>
      </c>
      <c r="B130" t="s">
        <v>8</v>
      </c>
      <c r="C130" t="s">
        <v>26</v>
      </c>
      <c r="D130" t="s">
        <v>46</v>
      </c>
      <c r="E130" t="s">
        <v>47</v>
      </c>
      <c r="F130" t="s">
        <v>17</v>
      </c>
      <c r="G130" t="s">
        <v>29</v>
      </c>
      <c r="H130">
        <v>1302</v>
      </c>
    </row>
    <row r="131" spans="1:8" x14ac:dyDescent="0.3">
      <c r="A131" s="1">
        <v>46168</v>
      </c>
      <c r="B131" t="s">
        <v>8</v>
      </c>
      <c r="C131" t="s">
        <v>26</v>
      </c>
      <c r="D131" t="s">
        <v>27</v>
      </c>
      <c r="E131" t="s">
        <v>28</v>
      </c>
      <c r="F131" t="s">
        <v>17</v>
      </c>
      <c r="G131" t="s">
        <v>25</v>
      </c>
      <c r="H131">
        <v>1237</v>
      </c>
    </row>
    <row r="132" spans="1:8" x14ac:dyDescent="0.3">
      <c r="A132" s="1">
        <v>46168</v>
      </c>
      <c r="B132" t="s">
        <v>8</v>
      </c>
      <c r="C132" t="s">
        <v>35</v>
      </c>
      <c r="D132" t="s">
        <v>48</v>
      </c>
      <c r="E132" t="s">
        <v>49</v>
      </c>
      <c r="F132" t="s">
        <v>17</v>
      </c>
      <c r="G132" t="s">
        <v>18</v>
      </c>
      <c r="H132">
        <v>562</v>
      </c>
    </row>
    <row r="133" spans="1:8" x14ac:dyDescent="0.3">
      <c r="A133" s="1">
        <v>46169</v>
      </c>
      <c r="B133" t="s">
        <v>8</v>
      </c>
      <c r="C133" t="s">
        <v>35</v>
      </c>
      <c r="D133" t="s">
        <v>48</v>
      </c>
      <c r="E133" t="s">
        <v>49</v>
      </c>
      <c r="F133" t="s">
        <v>17</v>
      </c>
      <c r="G133" t="s">
        <v>18</v>
      </c>
      <c r="H133">
        <v>529</v>
      </c>
    </row>
    <row r="134" spans="1:8" x14ac:dyDescent="0.3">
      <c r="A134" s="1">
        <v>46169</v>
      </c>
      <c r="B134" t="s">
        <v>8</v>
      </c>
      <c r="C134" t="s">
        <v>14</v>
      </c>
      <c r="D134" t="s">
        <v>30</v>
      </c>
      <c r="E134" t="s">
        <v>31</v>
      </c>
      <c r="F134" t="s">
        <v>17</v>
      </c>
      <c r="G134" t="s">
        <v>25</v>
      </c>
      <c r="H134">
        <v>1221</v>
      </c>
    </row>
    <row r="135" spans="1:8" x14ac:dyDescent="0.3">
      <c r="A135" s="1">
        <v>46169</v>
      </c>
      <c r="B135" t="s">
        <v>8</v>
      </c>
      <c r="C135" t="s">
        <v>26</v>
      </c>
      <c r="D135" t="s">
        <v>46</v>
      </c>
      <c r="E135" t="s">
        <v>47</v>
      </c>
      <c r="F135" t="s">
        <v>17</v>
      </c>
      <c r="G135" t="s">
        <v>25</v>
      </c>
      <c r="H135">
        <v>848</v>
      </c>
    </row>
    <row r="136" spans="1:8" x14ac:dyDescent="0.3">
      <c r="A136" s="1">
        <v>46170</v>
      </c>
      <c r="B136" t="s">
        <v>8</v>
      </c>
      <c r="C136" t="s">
        <v>19</v>
      </c>
      <c r="D136" t="s">
        <v>38</v>
      </c>
      <c r="E136" t="s">
        <v>39</v>
      </c>
      <c r="F136" t="s">
        <v>17</v>
      </c>
      <c r="G136" t="s">
        <v>29</v>
      </c>
      <c r="H136">
        <v>629</v>
      </c>
    </row>
    <row r="137" spans="1:8" x14ac:dyDescent="0.3">
      <c r="A137" s="1">
        <v>46170</v>
      </c>
      <c r="B137" t="s">
        <v>8</v>
      </c>
      <c r="C137" t="s">
        <v>35</v>
      </c>
      <c r="D137" t="s">
        <v>48</v>
      </c>
      <c r="E137" t="s">
        <v>49</v>
      </c>
      <c r="F137" t="s">
        <v>17</v>
      </c>
      <c r="G137" t="s">
        <v>25</v>
      </c>
      <c r="H137">
        <v>247</v>
      </c>
    </row>
    <row r="138" spans="1:8" x14ac:dyDescent="0.3">
      <c r="A138" s="1">
        <v>46170</v>
      </c>
      <c r="B138" t="s">
        <v>8</v>
      </c>
      <c r="C138" t="s">
        <v>26</v>
      </c>
      <c r="D138" t="s">
        <v>27</v>
      </c>
      <c r="E138" t="s">
        <v>28</v>
      </c>
      <c r="F138" t="s">
        <v>17</v>
      </c>
      <c r="G138" t="s">
        <v>29</v>
      </c>
      <c r="H138">
        <v>763</v>
      </c>
    </row>
    <row r="139" spans="1:8" x14ac:dyDescent="0.3">
      <c r="A139" s="1">
        <v>46170</v>
      </c>
      <c r="B139" t="s">
        <v>8</v>
      </c>
      <c r="C139" t="s">
        <v>35</v>
      </c>
      <c r="D139" t="s">
        <v>52</v>
      </c>
      <c r="E139" t="s">
        <v>53</v>
      </c>
      <c r="F139" t="s">
        <v>17</v>
      </c>
      <c r="G139" t="s">
        <v>29</v>
      </c>
      <c r="H139">
        <v>482</v>
      </c>
    </row>
    <row r="140" spans="1:8" x14ac:dyDescent="0.3">
      <c r="A140" s="1">
        <v>46170</v>
      </c>
      <c r="B140" t="s">
        <v>8</v>
      </c>
      <c r="C140" t="s">
        <v>19</v>
      </c>
      <c r="D140" t="s">
        <v>20</v>
      </c>
      <c r="E140" t="s">
        <v>21</v>
      </c>
      <c r="F140" t="s">
        <v>17</v>
      </c>
      <c r="G140" t="s">
        <v>25</v>
      </c>
      <c r="H140">
        <v>1153</v>
      </c>
    </row>
    <row r="141" spans="1:8" x14ac:dyDescent="0.3">
      <c r="A141" s="1">
        <v>46171</v>
      </c>
      <c r="B141" t="s">
        <v>8</v>
      </c>
      <c r="C141" t="s">
        <v>22</v>
      </c>
      <c r="D141" t="s">
        <v>50</v>
      </c>
      <c r="E141" t="s">
        <v>51</v>
      </c>
      <c r="F141" t="s">
        <v>17</v>
      </c>
      <c r="G141" t="s">
        <v>25</v>
      </c>
      <c r="H141">
        <v>1135</v>
      </c>
    </row>
    <row r="142" spans="1:8" x14ac:dyDescent="0.3">
      <c r="A142" s="1">
        <v>46171</v>
      </c>
      <c r="B142" t="s">
        <v>8</v>
      </c>
      <c r="C142" t="s">
        <v>14</v>
      </c>
      <c r="D142" t="s">
        <v>15</v>
      </c>
      <c r="E142" t="s">
        <v>16</v>
      </c>
      <c r="F142" t="s">
        <v>17</v>
      </c>
      <c r="G142" t="s">
        <v>29</v>
      </c>
      <c r="H142">
        <v>1414</v>
      </c>
    </row>
    <row r="143" spans="1:8" x14ac:dyDescent="0.3">
      <c r="A143" s="1">
        <v>46171</v>
      </c>
      <c r="B143" t="s">
        <v>8</v>
      </c>
      <c r="C143" t="s">
        <v>14</v>
      </c>
      <c r="D143" t="s">
        <v>15</v>
      </c>
      <c r="E143" t="s">
        <v>16</v>
      </c>
      <c r="F143" t="s">
        <v>17</v>
      </c>
      <c r="G143" t="s">
        <v>29</v>
      </c>
      <c r="H143">
        <v>642</v>
      </c>
    </row>
    <row r="144" spans="1:8" x14ac:dyDescent="0.3">
      <c r="A144" s="1">
        <v>46171</v>
      </c>
      <c r="B144" t="s">
        <v>8</v>
      </c>
      <c r="C144" t="s">
        <v>14</v>
      </c>
      <c r="D144" t="s">
        <v>42</v>
      </c>
      <c r="E144" t="s">
        <v>43</v>
      </c>
      <c r="F144" t="s">
        <v>17</v>
      </c>
      <c r="G144" t="s">
        <v>18</v>
      </c>
      <c r="H144">
        <v>1118</v>
      </c>
    </row>
    <row r="145" spans="1:8" x14ac:dyDescent="0.3">
      <c r="A145" s="1">
        <v>46171</v>
      </c>
      <c r="B145" t="s">
        <v>8</v>
      </c>
      <c r="C145" t="s">
        <v>19</v>
      </c>
      <c r="D145" t="s">
        <v>44</v>
      </c>
      <c r="E145" t="s">
        <v>45</v>
      </c>
      <c r="F145" t="s">
        <v>17</v>
      </c>
      <c r="G145" t="s">
        <v>29</v>
      </c>
      <c r="H145">
        <v>702</v>
      </c>
    </row>
    <row r="146" spans="1:8" x14ac:dyDescent="0.3">
      <c r="A146" s="1">
        <v>46171</v>
      </c>
      <c r="B146" t="s">
        <v>8</v>
      </c>
      <c r="C146" t="s">
        <v>35</v>
      </c>
      <c r="D146" t="s">
        <v>48</v>
      </c>
      <c r="E146" t="s">
        <v>49</v>
      </c>
      <c r="F146" t="s">
        <v>17</v>
      </c>
      <c r="G146" t="s">
        <v>29</v>
      </c>
      <c r="H146">
        <v>960</v>
      </c>
    </row>
    <row r="147" spans="1:8" x14ac:dyDescent="0.3">
      <c r="A147" s="1">
        <v>46171</v>
      </c>
      <c r="B147" t="s">
        <v>8</v>
      </c>
      <c r="C147" t="s">
        <v>22</v>
      </c>
      <c r="D147" t="s">
        <v>23</v>
      </c>
      <c r="E147" t="s">
        <v>24</v>
      </c>
      <c r="F147" t="s">
        <v>17</v>
      </c>
      <c r="G147" t="s">
        <v>25</v>
      </c>
      <c r="H147">
        <v>841</v>
      </c>
    </row>
    <row r="148" spans="1:8" x14ac:dyDescent="0.3">
      <c r="A148" s="1">
        <v>46172</v>
      </c>
      <c r="B148" t="s">
        <v>8</v>
      </c>
      <c r="C148" t="s">
        <v>35</v>
      </c>
      <c r="D148" t="s">
        <v>48</v>
      </c>
      <c r="E148" t="s">
        <v>49</v>
      </c>
      <c r="F148" t="s">
        <v>17</v>
      </c>
      <c r="G148" t="s">
        <v>25</v>
      </c>
      <c r="H148">
        <v>1208</v>
      </c>
    </row>
    <row r="149" spans="1:8" x14ac:dyDescent="0.3">
      <c r="A149" s="1">
        <v>46172</v>
      </c>
      <c r="B149" t="s">
        <v>8</v>
      </c>
      <c r="C149" t="s">
        <v>14</v>
      </c>
      <c r="D149" t="s">
        <v>56</v>
      </c>
      <c r="E149" t="s">
        <v>57</v>
      </c>
      <c r="F149" t="s">
        <v>17</v>
      </c>
      <c r="G149" t="s">
        <v>25</v>
      </c>
      <c r="H149">
        <v>644</v>
      </c>
    </row>
    <row r="150" spans="1:8" x14ac:dyDescent="0.3">
      <c r="A150" s="1">
        <v>46172</v>
      </c>
      <c r="B150" t="s">
        <v>8</v>
      </c>
      <c r="C150" t="s">
        <v>19</v>
      </c>
      <c r="D150" t="s">
        <v>44</v>
      </c>
      <c r="E150" t="s">
        <v>45</v>
      </c>
      <c r="F150" t="s">
        <v>17</v>
      </c>
      <c r="G150" t="s">
        <v>25</v>
      </c>
      <c r="H150">
        <v>1160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B88D2-89E0-4F2C-AAC6-18F55A67AC56}">
  <dimension ref="A5:J154"/>
  <sheetViews>
    <sheetView workbookViewId="0">
      <selection activeCell="A154" sqref="A5:J154"/>
    </sheetView>
  </sheetViews>
  <sheetFormatPr defaultRowHeight="14.4" x14ac:dyDescent="0.3"/>
  <cols>
    <col min="1" max="1" width="10.88671875" customWidth="1"/>
    <col min="3" max="3" width="12.6640625" customWidth="1"/>
    <col min="4" max="4" width="14.109375" customWidth="1"/>
    <col min="5" max="5" width="19.77734375" customWidth="1"/>
    <col min="7" max="7" width="15.109375" customWidth="1"/>
    <col min="8" max="8" width="9.33203125" customWidth="1"/>
  </cols>
  <sheetData>
    <row r="5" spans="1:10" x14ac:dyDescent="0.3">
      <c r="A5" t="s">
        <v>0</v>
      </c>
      <c r="B5" t="s">
        <v>1</v>
      </c>
      <c r="C5" t="s">
        <v>2</v>
      </c>
      <c r="D5" t="s">
        <v>3</v>
      </c>
      <c r="E5" t="s">
        <v>4</v>
      </c>
      <c r="F5" t="s">
        <v>5</v>
      </c>
      <c r="G5" t="s">
        <v>6</v>
      </c>
      <c r="H5" t="s">
        <v>7</v>
      </c>
      <c r="I5" t="s">
        <v>74</v>
      </c>
      <c r="J5" t="s">
        <v>83</v>
      </c>
    </row>
    <row r="6" spans="1:10" x14ac:dyDescent="0.3">
      <c r="A6" s="1">
        <v>46143</v>
      </c>
      <c r="B6" t="s">
        <v>8</v>
      </c>
      <c r="C6" t="s">
        <v>9</v>
      </c>
      <c r="D6" t="s">
        <v>10</v>
      </c>
      <c r="E6" t="s">
        <v>11</v>
      </c>
      <c r="F6" t="s">
        <v>12</v>
      </c>
      <c r="G6" t="s">
        <v>13</v>
      </c>
      <c r="H6">
        <v>150000</v>
      </c>
      <c r="I6" t="str">
        <f>TEXT(Table7[[#This Row],[Date]],"dddd")</f>
        <v>Friday</v>
      </c>
      <c r="J6" t="str">
        <f>IF(OR(Table7[[#This Row],[Day]]="Saturday",Table7[[#This Row],[Day]]="Sunday"),"Weekend","Weekday")</f>
        <v>Weekday</v>
      </c>
    </row>
    <row r="7" spans="1:10" x14ac:dyDescent="0.3">
      <c r="A7" s="1">
        <v>46143</v>
      </c>
      <c r="B7" t="s">
        <v>8</v>
      </c>
      <c r="C7" t="s">
        <v>14</v>
      </c>
      <c r="D7" t="s">
        <v>15</v>
      </c>
      <c r="E7" t="s">
        <v>16</v>
      </c>
      <c r="F7" t="s">
        <v>17</v>
      </c>
      <c r="G7" t="s">
        <v>18</v>
      </c>
      <c r="H7">
        <v>1180</v>
      </c>
      <c r="I7" t="str">
        <f>TEXT(Table7[[#This Row],[Date]],"dddd")</f>
        <v>Friday</v>
      </c>
      <c r="J7" t="str">
        <f>IF(OR(Table7[[#This Row],[Day]]="Saturday",Table7[[#This Row],[Day]]="Sunday"),"Weekend","Weekday")</f>
        <v>Weekday</v>
      </c>
    </row>
    <row r="8" spans="1:10" x14ac:dyDescent="0.3">
      <c r="A8" s="1">
        <v>46143</v>
      </c>
      <c r="B8" t="s">
        <v>8</v>
      </c>
      <c r="C8" t="s">
        <v>19</v>
      </c>
      <c r="D8" t="s">
        <v>20</v>
      </c>
      <c r="E8" t="s">
        <v>21</v>
      </c>
      <c r="F8" t="s">
        <v>17</v>
      </c>
      <c r="G8" t="s">
        <v>18</v>
      </c>
      <c r="H8">
        <v>650</v>
      </c>
      <c r="I8" t="str">
        <f>TEXT(Table7[[#This Row],[Date]],"dddd")</f>
        <v>Friday</v>
      </c>
      <c r="J8" t="str">
        <f>IF(OR(Table7[[#This Row],[Day]]="Saturday",Table7[[#This Row],[Day]]="Sunday"),"Weekend","Weekday")</f>
        <v>Weekday</v>
      </c>
    </row>
    <row r="9" spans="1:10" x14ac:dyDescent="0.3">
      <c r="A9" s="1">
        <v>46143</v>
      </c>
      <c r="B9" t="s">
        <v>8</v>
      </c>
      <c r="C9" t="s">
        <v>22</v>
      </c>
      <c r="D9" t="s">
        <v>23</v>
      </c>
      <c r="E9" t="s">
        <v>24</v>
      </c>
      <c r="F9" t="s">
        <v>17</v>
      </c>
      <c r="G9" t="s">
        <v>25</v>
      </c>
      <c r="H9">
        <v>700</v>
      </c>
      <c r="I9" t="str">
        <f>TEXT(Table7[[#This Row],[Date]],"dddd")</f>
        <v>Friday</v>
      </c>
      <c r="J9" t="str">
        <f>IF(OR(Table7[[#This Row],[Day]]="Saturday",Table7[[#This Row],[Day]]="Sunday"),"Weekend","Weekday")</f>
        <v>Weekday</v>
      </c>
    </row>
    <row r="10" spans="1:10" x14ac:dyDescent="0.3">
      <c r="A10" s="1">
        <v>46143</v>
      </c>
      <c r="B10" t="s">
        <v>8</v>
      </c>
      <c r="C10" t="s">
        <v>26</v>
      </c>
      <c r="D10" t="s">
        <v>27</v>
      </c>
      <c r="E10" t="s">
        <v>28</v>
      </c>
      <c r="F10" t="s">
        <v>17</v>
      </c>
      <c r="G10" t="s">
        <v>25</v>
      </c>
      <c r="H10">
        <v>1228</v>
      </c>
      <c r="I10" t="str">
        <f>TEXT(Table7[[#This Row],[Date]],"dddd")</f>
        <v>Friday</v>
      </c>
      <c r="J10" t="str">
        <f>IF(OR(Table7[[#This Row],[Day]]="Saturday",Table7[[#This Row],[Day]]="Sunday"),"Weekend","Weekday")</f>
        <v>Weekday</v>
      </c>
    </row>
    <row r="11" spans="1:10" x14ac:dyDescent="0.3">
      <c r="A11" s="1">
        <v>46143</v>
      </c>
      <c r="B11" t="s">
        <v>8</v>
      </c>
      <c r="C11" t="s">
        <v>26</v>
      </c>
      <c r="D11" t="s">
        <v>27</v>
      </c>
      <c r="E11" t="s">
        <v>28</v>
      </c>
      <c r="F11" t="s">
        <v>17</v>
      </c>
      <c r="G11" t="s">
        <v>29</v>
      </c>
      <c r="H11">
        <v>564</v>
      </c>
      <c r="I11" t="str">
        <f>TEXT(Table7[[#This Row],[Date]],"dddd")</f>
        <v>Friday</v>
      </c>
      <c r="J11" t="str">
        <f>IF(OR(Table7[[#This Row],[Day]]="Saturday",Table7[[#This Row],[Day]]="Sunday"),"Weekend","Weekday")</f>
        <v>Weekday</v>
      </c>
    </row>
    <row r="12" spans="1:10" x14ac:dyDescent="0.3">
      <c r="A12" s="1">
        <v>46143</v>
      </c>
      <c r="B12" t="s">
        <v>8</v>
      </c>
      <c r="C12" t="s">
        <v>14</v>
      </c>
      <c r="D12" t="s">
        <v>30</v>
      </c>
      <c r="E12" t="s">
        <v>31</v>
      </c>
      <c r="F12" t="s">
        <v>17</v>
      </c>
      <c r="G12" t="s">
        <v>18</v>
      </c>
      <c r="H12">
        <v>814</v>
      </c>
      <c r="I12" t="str">
        <f>TEXT(Table7[[#This Row],[Date]],"dddd")</f>
        <v>Friday</v>
      </c>
      <c r="J12" t="str">
        <f>IF(OR(Table7[[#This Row],[Day]]="Saturday",Table7[[#This Row],[Day]]="Sunday"),"Weekend","Weekday")</f>
        <v>Weekday</v>
      </c>
    </row>
    <row r="13" spans="1:10" x14ac:dyDescent="0.3">
      <c r="A13" s="1">
        <v>46144</v>
      </c>
      <c r="B13" t="s">
        <v>8</v>
      </c>
      <c r="C13" t="s">
        <v>32</v>
      </c>
      <c r="D13" t="s">
        <v>33</v>
      </c>
      <c r="E13" t="s">
        <v>34</v>
      </c>
      <c r="F13" t="s">
        <v>17</v>
      </c>
      <c r="G13" t="s">
        <v>25</v>
      </c>
      <c r="H13">
        <v>6000</v>
      </c>
      <c r="I13" t="str">
        <f>TEXT(Table7[[#This Row],[Date]],"dddd")</f>
        <v>Saturday</v>
      </c>
      <c r="J13" t="str">
        <f>IF(OR(Table7[[#This Row],[Day]]="Saturday",Table7[[#This Row],[Day]]="Sunday"),"Weekend","Weekday")</f>
        <v>Weekend</v>
      </c>
    </row>
    <row r="14" spans="1:10" x14ac:dyDescent="0.3">
      <c r="A14" s="1">
        <v>46144</v>
      </c>
      <c r="B14" t="s">
        <v>8</v>
      </c>
      <c r="C14" t="s">
        <v>35</v>
      </c>
      <c r="D14" t="s">
        <v>36</v>
      </c>
      <c r="E14" t="s">
        <v>37</v>
      </c>
      <c r="F14" t="s">
        <v>17</v>
      </c>
      <c r="G14" t="s">
        <v>29</v>
      </c>
      <c r="H14">
        <v>687</v>
      </c>
      <c r="I14" t="str">
        <f>TEXT(Table7[[#This Row],[Date]],"dddd")</f>
        <v>Saturday</v>
      </c>
      <c r="J14" t="str">
        <f>IF(OR(Table7[[#This Row],[Day]]="Saturday",Table7[[#This Row],[Day]]="Sunday"),"Weekend","Weekday")</f>
        <v>Weekend</v>
      </c>
    </row>
    <row r="15" spans="1:10" x14ac:dyDescent="0.3">
      <c r="A15" s="1">
        <v>46144</v>
      </c>
      <c r="B15" t="s">
        <v>8</v>
      </c>
      <c r="C15" t="s">
        <v>19</v>
      </c>
      <c r="D15" t="s">
        <v>38</v>
      </c>
      <c r="E15" t="s">
        <v>39</v>
      </c>
      <c r="F15" t="s">
        <v>17</v>
      </c>
      <c r="G15" t="s">
        <v>29</v>
      </c>
      <c r="H15">
        <v>401</v>
      </c>
      <c r="I15" t="str">
        <f>TEXT(Table7[[#This Row],[Date]],"dddd")</f>
        <v>Saturday</v>
      </c>
      <c r="J15" t="str">
        <f>IF(OR(Table7[[#This Row],[Day]]="Saturday",Table7[[#This Row],[Day]]="Sunday"),"Weekend","Weekday")</f>
        <v>Weekend</v>
      </c>
    </row>
    <row r="16" spans="1:10" x14ac:dyDescent="0.3">
      <c r="A16" s="1">
        <v>46144</v>
      </c>
      <c r="B16" t="s">
        <v>8</v>
      </c>
      <c r="C16" t="s">
        <v>22</v>
      </c>
      <c r="D16" t="s">
        <v>23</v>
      </c>
      <c r="E16" t="s">
        <v>24</v>
      </c>
      <c r="F16" t="s">
        <v>17</v>
      </c>
      <c r="G16" t="s">
        <v>29</v>
      </c>
      <c r="H16">
        <v>568</v>
      </c>
      <c r="I16" t="str">
        <f>TEXT(Table7[[#This Row],[Date]],"dddd")</f>
        <v>Saturday</v>
      </c>
      <c r="J16" t="str">
        <f>IF(OR(Table7[[#This Row],[Day]]="Saturday",Table7[[#This Row],[Day]]="Sunday"),"Weekend","Weekday")</f>
        <v>Weekend</v>
      </c>
    </row>
    <row r="17" spans="1:10" x14ac:dyDescent="0.3">
      <c r="A17" s="1">
        <v>46144</v>
      </c>
      <c r="B17" t="s">
        <v>8</v>
      </c>
      <c r="C17" t="s">
        <v>22</v>
      </c>
      <c r="D17" t="s">
        <v>23</v>
      </c>
      <c r="E17" t="s">
        <v>24</v>
      </c>
      <c r="F17" t="s">
        <v>17</v>
      </c>
      <c r="G17" t="s">
        <v>29</v>
      </c>
      <c r="H17">
        <v>1110</v>
      </c>
      <c r="I17" t="str">
        <f>TEXT(Table7[[#This Row],[Date]],"dddd")</f>
        <v>Saturday</v>
      </c>
      <c r="J17" t="str">
        <f>IF(OR(Table7[[#This Row],[Day]]="Saturday",Table7[[#This Row],[Day]]="Sunday"),"Weekend","Weekday")</f>
        <v>Weekend</v>
      </c>
    </row>
    <row r="18" spans="1:10" x14ac:dyDescent="0.3">
      <c r="A18" s="1">
        <v>46144</v>
      </c>
      <c r="B18" t="s">
        <v>8</v>
      </c>
      <c r="C18" t="s">
        <v>22</v>
      </c>
      <c r="D18" t="s">
        <v>23</v>
      </c>
      <c r="E18" t="s">
        <v>24</v>
      </c>
      <c r="F18" t="s">
        <v>17</v>
      </c>
      <c r="G18" t="s">
        <v>29</v>
      </c>
      <c r="H18">
        <v>216</v>
      </c>
      <c r="I18" t="str">
        <f>TEXT(Table7[[#This Row],[Date]],"dddd")</f>
        <v>Saturday</v>
      </c>
      <c r="J18" t="str">
        <f>IF(OR(Table7[[#This Row],[Day]]="Saturday",Table7[[#This Row],[Day]]="Sunday"),"Weekend","Weekday")</f>
        <v>Weekend</v>
      </c>
    </row>
    <row r="19" spans="1:10" x14ac:dyDescent="0.3">
      <c r="A19" s="1">
        <v>46145</v>
      </c>
      <c r="B19" t="s">
        <v>8</v>
      </c>
      <c r="C19" t="s">
        <v>19</v>
      </c>
      <c r="D19" t="s">
        <v>20</v>
      </c>
      <c r="E19" t="s">
        <v>21</v>
      </c>
      <c r="F19" t="s">
        <v>17</v>
      </c>
      <c r="G19" t="s">
        <v>25</v>
      </c>
      <c r="H19">
        <v>782</v>
      </c>
      <c r="I19" t="str">
        <f>TEXT(Table7[[#This Row],[Date]],"dddd")</f>
        <v>Sunday</v>
      </c>
      <c r="J19" t="str">
        <f>IF(OR(Table7[[#This Row],[Day]]="Saturday",Table7[[#This Row],[Day]]="Sunday"),"Weekend","Weekday")</f>
        <v>Weekend</v>
      </c>
    </row>
    <row r="20" spans="1:10" x14ac:dyDescent="0.3">
      <c r="A20" s="1">
        <v>46145</v>
      </c>
      <c r="B20" t="s">
        <v>8</v>
      </c>
      <c r="C20" t="s">
        <v>26</v>
      </c>
      <c r="D20" t="s">
        <v>40</v>
      </c>
      <c r="E20" t="s">
        <v>41</v>
      </c>
      <c r="F20" t="s">
        <v>17</v>
      </c>
      <c r="G20" t="s">
        <v>25</v>
      </c>
      <c r="H20">
        <v>1311</v>
      </c>
      <c r="I20" t="str">
        <f>TEXT(Table7[[#This Row],[Date]],"dddd")</f>
        <v>Sunday</v>
      </c>
      <c r="J20" t="str">
        <f>IF(OR(Table7[[#This Row],[Day]]="Saturday",Table7[[#This Row],[Day]]="Sunday"),"Weekend","Weekday")</f>
        <v>Weekend</v>
      </c>
    </row>
    <row r="21" spans="1:10" x14ac:dyDescent="0.3">
      <c r="A21" s="1">
        <v>46145</v>
      </c>
      <c r="B21" t="s">
        <v>8</v>
      </c>
      <c r="C21" t="s">
        <v>14</v>
      </c>
      <c r="D21" t="s">
        <v>42</v>
      </c>
      <c r="E21" t="s">
        <v>43</v>
      </c>
      <c r="F21" t="s">
        <v>17</v>
      </c>
      <c r="G21" t="s">
        <v>25</v>
      </c>
      <c r="H21">
        <v>1357</v>
      </c>
      <c r="I21" t="str">
        <f>TEXT(Table7[[#This Row],[Date]],"dddd")</f>
        <v>Sunday</v>
      </c>
      <c r="J21" t="str">
        <f>IF(OR(Table7[[#This Row],[Day]]="Saturday",Table7[[#This Row],[Day]]="Sunday"),"Weekend","Weekday")</f>
        <v>Weekend</v>
      </c>
    </row>
    <row r="22" spans="1:10" x14ac:dyDescent="0.3">
      <c r="A22" s="1">
        <v>46145</v>
      </c>
      <c r="B22" t="s">
        <v>8</v>
      </c>
      <c r="C22" t="s">
        <v>14</v>
      </c>
      <c r="D22" t="s">
        <v>42</v>
      </c>
      <c r="E22" t="s">
        <v>43</v>
      </c>
      <c r="F22" t="s">
        <v>17</v>
      </c>
      <c r="G22" t="s">
        <v>29</v>
      </c>
      <c r="H22">
        <v>958</v>
      </c>
      <c r="I22" t="str">
        <f>TEXT(Table7[[#This Row],[Date]],"dddd")</f>
        <v>Sunday</v>
      </c>
      <c r="J22" t="str">
        <f>IF(OR(Table7[[#This Row],[Day]]="Saturday",Table7[[#This Row],[Day]]="Sunday"),"Weekend","Weekday")</f>
        <v>Weekend</v>
      </c>
    </row>
    <row r="23" spans="1:10" x14ac:dyDescent="0.3">
      <c r="A23" s="1">
        <v>46145</v>
      </c>
      <c r="B23" t="s">
        <v>8</v>
      </c>
      <c r="C23" t="s">
        <v>19</v>
      </c>
      <c r="D23" t="s">
        <v>44</v>
      </c>
      <c r="E23" t="s">
        <v>45</v>
      </c>
      <c r="F23" t="s">
        <v>17</v>
      </c>
      <c r="G23" t="s">
        <v>29</v>
      </c>
      <c r="H23">
        <v>468</v>
      </c>
      <c r="I23" t="str">
        <f>TEXT(Table7[[#This Row],[Date]],"dddd")</f>
        <v>Sunday</v>
      </c>
      <c r="J23" t="str">
        <f>IF(OR(Table7[[#This Row],[Day]]="Saturday",Table7[[#This Row],[Day]]="Sunday"),"Weekend","Weekday")</f>
        <v>Weekend</v>
      </c>
    </row>
    <row r="24" spans="1:10" x14ac:dyDescent="0.3">
      <c r="A24" s="1">
        <v>46146</v>
      </c>
      <c r="B24" t="s">
        <v>8</v>
      </c>
      <c r="C24" t="s">
        <v>26</v>
      </c>
      <c r="D24" t="s">
        <v>27</v>
      </c>
      <c r="E24" t="s">
        <v>28</v>
      </c>
      <c r="F24" t="s">
        <v>17</v>
      </c>
      <c r="G24" t="s">
        <v>25</v>
      </c>
      <c r="H24">
        <v>561</v>
      </c>
      <c r="I24" t="str">
        <f>TEXT(Table7[[#This Row],[Date]],"dddd")</f>
        <v>Monday</v>
      </c>
      <c r="J24" t="str">
        <f>IF(OR(Table7[[#This Row],[Day]]="Saturday",Table7[[#This Row],[Day]]="Sunday"),"Weekend","Weekday")</f>
        <v>Weekday</v>
      </c>
    </row>
    <row r="25" spans="1:10" x14ac:dyDescent="0.3">
      <c r="A25" s="1">
        <v>46146</v>
      </c>
      <c r="B25" t="s">
        <v>8</v>
      </c>
      <c r="C25" t="s">
        <v>26</v>
      </c>
      <c r="D25" t="s">
        <v>46</v>
      </c>
      <c r="E25" t="s">
        <v>47</v>
      </c>
      <c r="F25" t="s">
        <v>17</v>
      </c>
      <c r="G25" t="s">
        <v>25</v>
      </c>
      <c r="H25">
        <v>1087</v>
      </c>
      <c r="I25" t="str">
        <f>TEXT(Table7[[#This Row],[Date]],"dddd")</f>
        <v>Monday</v>
      </c>
      <c r="J25" t="str">
        <f>IF(OR(Table7[[#This Row],[Day]]="Saturday",Table7[[#This Row],[Day]]="Sunday"),"Weekend","Weekday")</f>
        <v>Weekday</v>
      </c>
    </row>
    <row r="26" spans="1:10" x14ac:dyDescent="0.3">
      <c r="A26" s="1">
        <v>46146</v>
      </c>
      <c r="B26" t="s">
        <v>8</v>
      </c>
      <c r="C26" t="s">
        <v>14</v>
      </c>
      <c r="D26" t="s">
        <v>42</v>
      </c>
      <c r="E26" t="s">
        <v>43</v>
      </c>
      <c r="F26" t="s">
        <v>17</v>
      </c>
      <c r="G26" t="s">
        <v>18</v>
      </c>
      <c r="H26">
        <v>925</v>
      </c>
      <c r="I26" t="str">
        <f>TEXT(Table7[[#This Row],[Date]],"dddd")</f>
        <v>Monday</v>
      </c>
      <c r="J26" t="str">
        <f>IF(OR(Table7[[#This Row],[Day]]="Saturday",Table7[[#This Row],[Day]]="Sunday"),"Weekend","Weekday")</f>
        <v>Weekday</v>
      </c>
    </row>
    <row r="27" spans="1:10" x14ac:dyDescent="0.3">
      <c r="A27" s="1">
        <v>46146</v>
      </c>
      <c r="B27" t="s">
        <v>8</v>
      </c>
      <c r="C27" t="s">
        <v>35</v>
      </c>
      <c r="D27" t="s">
        <v>48</v>
      </c>
      <c r="E27" t="s">
        <v>49</v>
      </c>
      <c r="F27" t="s">
        <v>17</v>
      </c>
      <c r="G27" t="s">
        <v>25</v>
      </c>
      <c r="H27">
        <v>486</v>
      </c>
      <c r="I27" t="str">
        <f>TEXT(Table7[[#This Row],[Date]],"dddd")</f>
        <v>Monday</v>
      </c>
      <c r="J27" t="str">
        <f>IF(OR(Table7[[#This Row],[Day]]="Saturday",Table7[[#This Row],[Day]]="Sunday"),"Weekend","Weekday")</f>
        <v>Weekday</v>
      </c>
    </row>
    <row r="28" spans="1:10" x14ac:dyDescent="0.3">
      <c r="A28" s="1">
        <v>46146</v>
      </c>
      <c r="B28" t="s">
        <v>8</v>
      </c>
      <c r="C28" t="s">
        <v>14</v>
      </c>
      <c r="D28" t="s">
        <v>15</v>
      </c>
      <c r="E28" t="s">
        <v>16</v>
      </c>
      <c r="F28" t="s">
        <v>17</v>
      </c>
      <c r="G28" t="s">
        <v>25</v>
      </c>
      <c r="H28">
        <v>443</v>
      </c>
      <c r="I28" t="str">
        <f>TEXT(Table7[[#This Row],[Date]],"dddd")</f>
        <v>Monday</v>
      </c>
      <c r="J28" t="str">
        <f>IF(OR(Table7[[#This Row],[Day]]="Saturday",Table7[[#This Row],[Day]]="Sunday"),"Weekend","Weekday")</f>
        <v>Weekday</v>
      </c>
    </row>
    <row r="29" spans="1:10" x14ac:dyDescent="0.3">
      <c r="A29" s="1">
        <v>46147</v>
      </c>
      <c r="B29" t="s">
        <v>8</v>
      </c>
      <c r="C29" t="s">
        <v>22</v>
      </c>
      <c r="D29" t="s">
        <v>50</v>
      </c>
      <c r="E29" t="s">
        <v>51</v>
      </c>
      <c r="F29" t="s">
        <v>17</v>
      </c>
      <c r="G29" t="s">
        <v>29</v>
      </c>
      <c r="H29">
        <v>409</v>
      </c>
      <c r="I29" t="str">
        <f>TEXT(Table7[[#This Row],[Date]],"dddd")</f>
        <v>Tuesday</v>
      </c>
      <c r="J29" t="str">
        <f>IF(OR(Table7[[#This Row],[Day]]="Saturday",Table7[[#This Row],[Day]]="Sunday"),"Weekend","Weekday")</f>
        <v>Weekday</v>
      </c>
    </row>
    <row r="30" spans="1:10" x14ac:dyDescent="0.3">
      <c r="A30" s="1">
        <v>46147</v>
      </c>
      <c r="B30" t="s">
        <v>8</v>
      </c>
      <c r="C30" t="s">
        <v>26</v>
      </c>
      <c r="D30" t="s">
        <v>46</v>
      </c>
      <c r="E30" t="s">
        <v>47</v>
      </c>
      <c r="F30" t="s">
        <v>17</v>
      </c>
      <c r="G30" t="s">
        <v>18</v>
      </c>
      <c r="H30">
        <v>1407</v>
      </c>
      <c r="I30" t="str">
        <f>TEXT(Table7[[#This Row],[Date]],"dddd")</f>
        <v>Tuesday</v>
      </c>
      <c r="J30" t="str">
        <f>IF(OR(Table7[[#This Row],[Day]]="Saturday",Table7[[#This Row],[Day]]="Sunday"),"Weekend","Weekday")</f>
        <v>Weekday</v>
      </c>
    </row>
    <row r="31" spans="1:10" x14ac:dyDescent="0.3">
      <c r="A31" s="1">
        <v>46147</v>
      </c>
      <c r="B31" t="s">
        <v>8</v>
      </c>
      <c r="C31" t="s">
        <v>14</v>
      </c>
      <c r="D31" t="s">
        <v>42</v>
      </c>
      <c r="E31" t="s">
        <v>43</v>
      </c>
      <c r="F31" t="s">
        <v>17</v>
      </c>
      <c r="G31" t="s">
        <v>25</v>
      </c>
      <c r="H31">
        <v>556</v>
      </c>
      <c r="I31" t="str">
        <f>TEXT(Table7[[#This Row],[Date]],"dddd")</f>
        <v>Tuesday</v>
      </c>
      <c r="J31" t="str">
        <f>IF(OR(Table7[[#This Row],[Day]]="Saturday",Table7[[#This Row],[Day]]="Sunday"),"Weekend","Weekday")</f>
        <v>Weekday</v>
      </c>
    </row>
    <row r="32" spans="1:10" x14ac:dyDescent="0.3">
      <c r="A32" s="1">
        <v>46147</v>
      </c>
      <c r="B32" t="s">
        <v>8</v>
      </c>
      <c r="C32" t="s">
        <v>35</v>
      </c>
      <c r="D32" t="s">
        <v>52</v>
      </c>
      <c r="E32" t="s">
        <v>53</v>
      </c>
      <c r="F32" t="s">
        <v>17</v>
      </c>
      <c r="G32" t="s">
        <v>29</v>
      </c>
      <c r="H32">
        <v>1038</v>
      </c>
      <c r="I32" t="str">
        <f>TEXT(Table7[[#This Row],[Date]],"dddd")</f>
        <v>Tuesday</v>
      </c>
      <c r="J32" t="str">
        <f>IF(OR(Table7[[#This Row],[Day]]="Saturday",Table7[[#This Row],[Day]]="Sunday"),"Weekend","Weekday")</f>
        <v>Weekday</v>
      </c>
    </row>
    <row r="33" spans="1:10" x14ac:dyDescent="0.3">
      <c r="A33" s="1">
        <v>46147</v>
      </c>
      <c r="B33" t="s">
        <v>8</v>
      </c>
      <c r="C33" t="s">
        <v>19</v>
      </c>
      <c r="D33" t="s">
        <v>44</v>
      </c>
      <c r="E33" t="s">
        <v>45</v>
      </c>
      <c r="F33" t="s">
        <v>17</v>
      </c>
      <c r="G33" t="s">
        <v>18</v>
      </c>
      <c r="H33">
        <v>1467</v>
      </c>
      <c r="I33" t="str">
        <f>TEXT(Table7[[#This Row],[Date]],"dddd")</f>
        <v>Tuesday</v>
      </c>
      <c r="J33" t="str">
        <f>IF(OR(Table7[[#This Row],[Day]]="Saturday",Table7[[#This Row],[Day]]="Sunday"),"Weekend","Weekday")</f>
        <v>Weekday</v>
      </c>
    </row>
    <row r="34" spans="1:10" x14ac:dyDescent="0.3">
      <c r="A34" s="1">
        <v>46147</v>
      </c>
      <c r="B34" t="s">
        <v>8</v>
      </c>
      <c r="C34" t="s">
        <v>14</v>
      </c>
      <c r="D34" t="s">
        <v>15</v>
      </c>
      <c r="E34" t="s">
        <v>16</v>
      </c>
      <c r="F34" t="s">
        <v>17</v>
      </c>
      <c r="G34" t="s">
        <v>18</v>
      </c>
      <c r="H34">
        <v>1482</v>
      </c>
      <c r="I34" t="str">
        <f>TEXT(Table7[[#This Row],[Date]],"dddd")</f>
        <v>Tuesday</v>
      </c>
      <c r="J34" t="str">
        <f>IF(OR(Table7[[#This Row],[Day]]="Saturday",Table7[[#This Row],[Day]]="Sunday"),"Weekend","Weekday")</f>
        <v>Weekday</v>
      </c>
    </row>
    <row r="35" spans="1:10" x14ac:dyDescent="0.3">
      <c r="A35" s="1">
        <v>46148</v>
      </c>
      <c r="B35" t="s">
        <v>8</v>
      </c>
      <c r="C35" t="s">
        <v>22</v>
      </c>
      <c r="D35" t="s">
        <v>50</v>
      </c>
      <c r="E35" t="s">
        <v>51</v>
      </c>
      <c r="F35" t="s">
        <v>17</v>
      </c>
      <c r="G35" t="s">
        <v>25</v>
      </c>
      <c r="H35">
        <v>687</v>
      </c>
      <c r="I35" t="str">
        <f>TEXT(Table7[[#This Row],[Date]],"dddd")</f>
        <v>Wednesday</v>
      </c>
      <c r="J35" t="str">
        <f>IF(OR(Table7[[#This Row],[Day]]="Saturday",Table7[[#This Row],[Day]]="Sunday"),"Weekend","Weekday")</f>
        <v>Weekday</v>
      </c>
    </row>
    <row r="36" spans="1:10" x14ac:dyDescent="0.3">
      <c r="A36" s="1">
        <v>46148</v>
      </c>
      <c r="B36" t="s">
        <v>8</v>
      </c>
      <c r="C36" t="s">
        <v>14</v>
      </c>
      <c r="D36" t="s">
        <v>15</v>
      </c>
      <c r="E36" t="s">
        <v>16</v>
      </c>
      <c r="F36" t="s">
        <v>17</v>
      </c>
      <c r="G36" t="s">
        <v>25</v>
      </c>
      <c r="H36">
        <v>1012</v>
      </c>
      <c r="I36" t="str">
        <f>TEXT(Table7[[#This Row],[Date]],"dddd")</f>
        <v>Wednesday</v>
      </c>
      <c r="J36" t="str">
        <f>IF(OR(Table7[[#This Row],[Day]]="Saturday",Table7[[#This Row],[Day]]="Sunday"),"Weekend","Weekday")</f>
        <v>Weekday</v>
      </c>
    </row>
    <row r="37" spans="1:10" x14ac:dyDescent="0.3">
      <c r="A37" s="1">
        <v>46148</v>
      </c>
      <c r="B37" t="s">
        <v>8</v>
      </c>
      <c r="C37" t="s">
        <v>14</v>
      </c>
      <c r="D37" t="s">
        <v>30</v>
      </c>
      <c r="E37" t="s">
        <v>31</v>
      </c>
      <c r="F37" t="s">
        <v>17</v>
      </c>
      <c r="G37" t="s">
        <v>25</v>
      </c>
      <c r="H37">
        <v>1350</v>
      </c>
      <c r="I37" t="str">
        <f>TEXT(Table7[[#This Row],[Date]],"dddd")</f>
        <v>Wednesday</v>
      </c>
      <c r="J37" t="str">
        <f>IF(OR(Table7[[#This Row],[Day]]="Saturday",Table7[[#This Row],[Day]]="Sunday"),"Weekend","Weekday")</f>
        <v>Weekday</v>
      </c>
    </row>
    <row r="38" spans="1:10" x14ac:dyDescent="0.3">
      <c r="A38" s="1">
        <v>46148</v>
      </c>
      <c r="B38" t="s">
        <v>8</v>
      </c>
      <c r="C38" t="s">
        <v>35</v>
      </c>
      <c r="D38" t="s">
        <v>36</v>
      </c>
      <c r="E38" t="s">
        <v>37</v>
      </c>
      <c r="F38" t="s">
        <v>17</v>
      </c>
      <c r="G38" t="s">
        <v>29</v>
      </c>
      <c r="H38">
        <v>1133</v>
      </c>
      <c r="I38" t="str">
        <f>TEXT(Table7[[#This Row],[Date]],"dddd")</f>
        <v>Wednesday</v>
      </c>
      <c r="J38" t="str">
        <f>IF(OR(Table7[[#This Row],[Day]]="Saturday",Table7[[#This Row],[Day]]="Sunday"),"Weekend","Weekday")</f>
        <v>Weekday</v>
      </c>
    </row>
    <row r="39" spans="1:10" x14ac:dyDescent="0.3">
      <c r="A39" s="1">
        <v>46149</v>
      </c>
      <c r="B39" t="s">
        <v>8</v>
      </c>
      <c r="C39" t="s">
        <v>14</v>
      </c>
      <c r="D39" t="s">
        <v>42</v>
      </c>
      <c r="E39" t="s">
        <v>43</v>
      </c>
      <c r="F39" t="s">
        <v>17</v>
      </c>
      <c r="G39" t="s">
        <v>25</v>
      </c>
      <c r="H39">
        <v>1250</v>
      </c>
      <c r="I39" t="str">
        <f>TEXT(Table7[[#This Row],[Date]],"dddd")</f>
        <v>Thursday</v>
      </c>
      <c r="J39" t="str">
        <f>IF(OR(Table7[[#This Row],[Day]]="Saturday",Table7[[#This Row],[Day]]="Sunday"),"Weekend","Weekday")</f>
        <v>Weekday</v>
      </c>
    </row>
    <row r="40" spans="1:10" x14ac:dyDescent="0.3">
      <c r="A40" s="1">
        <v>46149</v>
      </c>
      <c r="B40" t="s">
        <v>8</v>
      </c>
      <c r="C40" t="s">
        <v>35</v>
      </c>
      <c r="D40" t="s">
        <v>48</v>
      </c>
      <c r="E40" t="s">
        <v>49</v>
      </c>
      <c r="F40" t="s">
        <v>17</v>
      </c>
      <c r="G40" t="s">
        <v>29</v>
      </c>
      <c r="H40">
        <v>733</v>
      </c>
      <c r="I40" t="str">
        <f>TEXT(Table7[[#This Row],[Date]],"dddd")</f>
        <v>Thursday</v>
      </c>
      <c r="J40" t="str">
        <f>IF(OR(Table7[[#This Row],[Day]]="Saturday",Table7[[#This Row],[Day]]="Sunday"),"Weekend","Weekday")</f>
        <v>Weekday</v>
      </c>
    </row>
    <row r="41" spans="1:10" x14ac:dyDescent="0.3">
      <c r="A41" s="1">
        <v>46149</v>
      </c>
      <c r="B41" t="s">
        <v>8</v>
      </c>
      <c r="C41" t="s">
        <v>26</v>
      </c>
      <c r="D41" t="s">
        <v>54</v>
      </c>
      <c r="E41" t="s">
        <v>55</v>
      </c>
      <c r="F41" t="s">
        <v>17</v>
      </c>
      <c r="G41" t="s">
        <v>29</v>
      </c>
      <c r="H41">
        <v>1109</v>
      </c>
      <c r="I41" t="str">
        <f>TEXT(Table7[[#This Row],[Date]],"dddd")</f>
        <v>Thursday</v>
      </c>
      <c r="J41" t="str">
        <f>IF(OR(Table7[[#This Row],[Day]]="Saturday",Table7[[#This Row],[Day]]="Sunday"),"Weekend","Weekday")</f>
        <v>Weekday</v>
      </c>
    </row>
    <row r="42" spans="1:10" x14ac:dyDescent="0.3">
      <c r="A42" s="1">
        <v>46149</v>
      </c>
      <c r="B42" t="s">
        <v>8</v>
      </c>
      <c r="C42" t="s">
        <v>26</v>
      </c>
      <c r="D42" t="s">
        <v>27</v>
      </c>
      <c r="E42" t="s">
        <v>28</v>
      </c>
      <c r="F42" t="s">
        <v>17</v>
      </c>
      <c r="G42" t="s">
        <v>29</v>
      </c>
      <c r="H42">
        <v>1072</v>
      </c>
      <c r="I42" t="str">
        <f>TEXT(Table7[[#This Row],[Date]],"dddd")</f>
        <v>Thursday</v>
      </c>
      <c r="J42" t="str">
        <f>IF(OR(Table7[[#This Row],[Day]]="Saturday",Table7[[#This Row],[Day]]="Sunday"),"Weekend","Weekday")</f>
        <v>Weekday</v>
      </c>
    </row>
    <row r="43" spans="1:10" x14ac:dyDescent="0.3">
      <c r="A43" s="1">
        <v>46150</v>
      </c>
      <c r="B43" t="s">
        <v>8</v>
      </c>
      <c r="C43" t="s">
        <v>35</v>
      </c>
      <c r="D43" t="s">
        <v>36</v>
      </c>
      <c r="E43" t="s">
        <v>37</v>
      </c>
      <c r="F43" t="s">
        <v>17</v>
      </c>
      <c r="G43" t="s">
        <v>25</v>
      </c>
      <c r="H43">
        <v>327</v>
      </c>
      <c r="I43" t="str">
        <f>TEXT(Table7[[#This Row],[Date]],"dddd")</f>
        <v>Friday</v>
      </c>
      <c r="J43" t="str">
        <f>IF(OR(Table7[[#This Row],[Day]]="Saturday",Table7[[#This Row],[Day]]="Sunday"),"Weekend","Weekday")</f>
        <v>Weekday</v>
      </c>
    </row>
    <row r="44" spans="1:10" x14ac:dyDescent="0.3">
      <c r="A44" s="1">
        <v>46150</v>
      </c>
      <c r="B44" t="s">
        <v>8</v>
      </c>
      <c r="C44" t="s">
        <v>14</v>
      </c>
      <c r="D44" t="s">
        <v>42</v>
      </c>
      <c r="E44" t="s">
        <v>43</v>
      </c>
      <c r="F44" t="s">
        <v>17</v>
      </c>
      <c r="G44" t="s">
        <v>29</v>
      </c>
      <c r="H44">
        <v>456</v>
      </c>
      <c r="I44" t="str">
        <f>TEXT(Table7[[#This Row],[Date]],"dddd")</f>
        <v>Friday</v>
      </c>
      <c r="J44" t="str">
        <f>IF(OR(Table7[[#This Row],[Day]]="Saturday",Table7[[#This Row],[Day]]="Sunday"),"Weekend","Weekday")</f>
        <v>Weekday</v>
      </c>
    </row>
    <row r="45" spans="1:10" x14ac:dyDescent="0.3">
      <c r="A45" s="1">
        <v>46150</v>
      </c>
      <c r="B45" t="s">
        <v>8</v>
      </c>
      <c r="C45" t="s">
        <v>35</v>
      </c>
      <c r="D45" t="s">
        <v>52</v>
      </c>
      <c r="E45" t="s">
        <v>53</v>
      </c>
      <c r="F45" t="s">
        <v>17</v>
      </c>
      <c r="G45" t="s">
        <v>18</v>
      </c>
      <c r="H45">
        <v>701</v>
      </c>
      <c r="I45" t="str">
        <f>TEXT(Table7[[#This Row],[Date]],"dddd")</f>
        <v>Friday</v>
      </c>
      <c r="J45" t="str">
        <f>IF(OR(Table7[[#This Row],[Day]]="Saturday",Table7[[#This Row],[Day]]="Sunday"),"Weekend","Weekday")</f>
        <v>Weekday</v>
      </c>
    </row>
    <row r="46" spans="1:10" x14ac:dyDescent="0.3">
      <c r="A46" s="1">
        <v>46151</v>
      </c>
      <c r="B46" t="s">
        <v>8</v>
      </c>
      <c r="C46" t="s">
        <v>35</v>
      </c>
      <c r="D46" t="s">
        <v>48</v>
      </c>
      <c r="E46" t="s">
        <v>49</v>
      </c>
      <c r="F46" t="s">
        <v>17</v>
      </c>
      <c r="G46" t="s">
        <v>18</v>
      </c>
      <c r="H46">
        <v>1416</v>
      </c>
      <c r="I46" t="str">
        <f>TEXT(Table7[[#This Row],[Date]],"dddd")</f>
        <v>Saturday</v>
      </c>
      <c r="J46" t="str">
        <f>IF(OR(Table7[[#This Row],[Day]]="Saturday",Table7[[#This Row],[Day]]="Sunday"),"Weekend","Weekday")</f>
        <v>Weekend</v>
      </c>
    </row>
    <row r="47" spans="1:10" x14ac:dyDescent="0.3">
      <c r="A47" s="1">
        <v>46151</v>
      </c>
      <c r="B47" t="s">
        <v>8</v>
      </c>
      <c r="C47" t="s">
        <v>26</v>
      </c>
      <c r="D47" t="s">
        <v>46</v>
      </c>
      <c r="E47" t="s">
        <v>47</v>
      </c>
      <c r="F47" t="s">
        <v>17</v>
      </c>
      <c r="G47" t="s">
        <v>25</v>
      </c>
      <c r="H47">
        <v>576</v>
      </c>
      <c r="I47" t="str">
        <f>TEXT(Table7[[#This Row],[Date]],"dddd")</f>
        <v>Saturday</v>
      </c>
      <c r="J47" t="str">
        <f>IF(OR(Table7[[#This Row],[Day]]="Saturday",Table7[[#This Row],[Day]]="Sunday"),"Weekend","Weekday")</f>
        <v>Weekend</v>
      </c>
    </row>
    <row r="48" spans="1:10" x14ac:dyDescent="0.3">
      <c r="A48" s="1">
        <v>46151</v>
      </c>
      <c r="B48" t="s">
        <v>8</v>
      </c>
      <c r="C48" t="s">
        <v>22</v>
      </c>
      <c r="D48" t="s">
        <v>23</v>
      </c>
      <c r="E48" t="s">
        <v>24</v>
      </c>
      <c r="F48" t="s">
        <v>17</v>
      </c>
      <c r="G48" t="s">
        <v>18</v>
      </c>
      <c r="H48">
        <v>731</v>
      </c>
      <c r="I48" t="str">
        <f>TEXT(Table7[[#This Row],[Date]],"dddd")</f>
        <v>Saturday</v>
      </c>
      <c r="J48" t="str">
        <f>IF(OR(Table7[[#This Row],[Day]]="Saturday",Table7[[#This Row],[Day]]="Sunday"),"Weekend","Weekday")</f>
        <v>Weekend</v>
      </c>
    </row>
    <row r="49" spans="1:10" x14ac:dyDescent="0.3">
      <c r="A49" s="1">
        <v>46151</v>
      </c>
      <c r="B49" t="s">
        <v>8</v>
      </c>
      <c r="C49" t="s">
        <v>35</v>
      </c>
      <c r="D49" t="s">
        <v>52</v>
      </c>
      <c r="E49" t="s">
        <v>53</v>
      </c>
      <c r="F49" t="s">
        <v>17</v>
      </c>
      <c r="G49" t="s">
        <v>25</v>
      </c>
      <c r="H49">
        <v>286</v>
      </c>
      <c r="I49" t="str">
        <f>TEXT(Table7[[#This Row],[Date]],"dddd")</f>
        <v>Saturday</v>
      </c>
      <c r="J49" t="str">
        <f>IF(OR(Table7[[#This Row],[Day]]="Saturday",Table7[[#This Row],[Day]]="Sunday"),"Weekend","Weekday")</f>
        <v>Weekend</v>
      </c>
    </row>
    <row r="50" spans="1:10" x14ac:dyDescent="0.3">
      <c r="A50" s="1">
        <v>46151</v>
      </c>
      <c r="B50" t="s">
        <v>8</v>
      </c>
      <c r="C50" t="s">
        <v>14</v>
      </c>
      <c r="D50" t="s">
        <v>56</v>
      </c>
      <c r="E50" t="s">
        <v>57</v>
      </c>
      <c r="F50" t="s">
        <v>17</v>
      </c>
      <c r="G50" t="s">
        <v>25</v>
      </c>
      <c r="H50">
        <v>1145</v>
      </c>
      <c r="I50" t="str">
        <f>TEXT(Table7[[#This Row],[Date]],"dddd")</f>
        <v>Saturday</v>
      </c>
      <c r="J50" t="str">
        <f>IF(OR(Table7[[#This Row],[Day]]="Saturday",Table7[[#This Row],[Day]]="Sunday"),"Weekend","Weekday")</f>
        <v>Weekend</v>
      </c>
    </row>
    <row r="51" spans="1:10" x14ac:dyDescent="0.3">
      <c r="A51" s="1">
        <v>46152</v>
      </c>
      <c r="B51" t="s">
        <v>8</v>
      </c>
      <c r="C51" t="s">
        <v>14</v>
      </c>
      <c r="D51" t="s">
        <v>56</v>
      </c>
      <c r="E51" t="s">
        <v>57</v>
      </c>
      <c r="F51" t="s">
        <v>17</v>
      </c>
      <c r="G51" t="s">
        <v>29</v>
      </c>
      <c r="H51">
        <v>1165</v>
      </c>
      <c r="I51" t="str">
        <f>TEXT(Table7[[#This Row],[Date]],"dddd")</f>
        <v>Sunday</v>
      </c>
      <c r="J51" t="str">
        <f>IF(OR(Table7[[#This Row],[Day]]="Saturday",Table7[[#This Row],[Day]]="Sunday"),"Weekend","Weekday")</f>
        <v>Weekend</v>
      </c>
    </row>
    <row r="52" spans="1:10" x14ac:dyDescent="0.3">
      <c r="A52" s="1">
        <v>46152</v>
      </c>
      <c r="B52" t="s">
        <v>8</v>
      </c>
      <c r="C52" t="s">
        <v>14</v>
      </c>
      <c r="D52" t="s">
        <v>30</v>
      </c>
      <c r="E52" t="s">
        <v>31</v>
      </c>
      <c r="F52" t="s">
        <v>17</v>
      </c>
      <c r="G52" t="s">
        <v>25</v>
      </c>
      <c r="H52">
        <v>962</v>
      </c>
      <c r="I52" t="str">
        <f>TEXT(Table7[[#This Row],[Date]],"dddd")</f>
        <v>Sunday</v>
      </c>
      <c r="J52" t="str">
        <f>IF(OR(Table7[[#This Row],[Day]]="Saturday",Table7[[#This Row],[Day]]="Sunday"),"Weekend","Weekday")</f>
        <v>Weekend</v>
      </c>
    </row>
    <row r="53" spans="1:10" x14ac:dyDescent="0.3">
      <c r="A53" s="1">
        <v>46152</v>
      </c>
      <c r="B53" t="s">
        <v>8</v>
      </c>
      <c r="C53" t="s">
        <v>35</v>
      </c>
      <c r="D53" t="s">
        <v>36</v>
      </c>
      <c r="E53" t="s">
        <v>37</v>
      </c>
      <c r="F53" t="s">
        <v>17</v>
      </c>
      <c r="G53" t="s">
        <v>18</v>
      </c>
      <c r="H53">
        <v>1087</v>
      </c>
      <c r="I53" t="str">
        <f>TEXT(Table7[[#This Row],[Date]],"dddd")</f>
        <v>Sunday</v>
      </c>
      <c r="J53" t="str">
        <f>IF(OR(Table7[[#This Row],[Day]]="Saturday",Table7[[#This Row],[Day]]="Sunday"),"Weekend","Weekday")</f>
        <v>Weekend</v>
      </c>
    </row>
    <row r="54" spans="1:10" x14ac:dyDescent="0.3">
      <c r="A54" s="1">
        <v>46152</v>
      </c>
      <c r="B54" t="s">
        <v>8</v>
      </c>
      <c r="C54" t="s">
        <v>14</v>
      </c>
      <c r="D54" t="s">
        <v>42</v>
      </c>
      <c r="E54" t="s">
        <v>43</v>
      </c>
      <c r="F54" t="s">
        <v>17</v>
      </c>
      <c r="G54" t="s">
        <v>25</v>
      </c>
      <c r="H54">
        <v>895</v>
      </c>
      <c r="I54" t="str">
        <f>TEXT(Table7[[#This Row],[Date]],"dddd")</f>
        <v>Sunday</v>
      </c>
      <c r="J54" t="str">
        <f>IF(OR(Table7[[#This Row],[Day]]="Saturday",Table7[[#This Row],[Day]]="Sunday"),"Weekend","Weekday")</f>
        <v>Weekend</v>
      </c>
    </row>
    <row r="55" spans="1:10" x14ac:dyDescent="0.3">
      <c r="A55" s="1">
        <v>46153</v>
      </c>
      <c r="B55" t="s">
        <v>8</v>
      </c>
      <c r="C55" t="s">
        <v>35</v>
      </c>
      <c r="D55" t="s">
        <v>48</v>
      </c>
      <c r="E55" t="s">
        <v>49</v>
      </c>
      <c r="F55" t="s">
        <v>17</v>
      </c>
      <c r="G55" t="s">
        <v>18</v>
      </c>
      <c r="H55">
        <v>840</v>
      </c>
      <c r="I55" t="str">
        <f>TEXT(Table7[[#This Row],[Date]],"dddd")</f>
        <v>Monday</v>
      </c>
      <c r="J55" t="str">
        <f>IF(OR(Table7[[#This Row],[Day]]="Saturday",Table7[[#This Row],[Day]]="Sunday"),"Weekend","Weekday")</f>
        <v>Weekday</v>
      </c>
    </row>
    <row r="56" spans="1:10" x14ac:dyDescent="0.3">
      <c r="A56" s="1">
        <v>46153</v>
      </c>
      <c r="B56" t="s">
        <v>8</v>
      </c>
      <c r="C56" t="s">
        <v>19</v>
      </c>
      <c r="D56" t="s">
        <v>44</v>
      </c>
      <c r="E56" t="s">
        <v>45</v>
      </c>
      <c r="F56" t="s">
        <v>17</v>
      </c>
      <c r="G56" t="s">
        <v>25</v>
      </c>
      <c r="H56">
        <v>694</v>
      </c>
      <c r="I56" t="str">
        <f>TEXT(Table7[[#This Row],[Date]],"dddd")</f>
        <v>Monday</v>
      </c>
      <c r="J56" t="str">
        <f>IF(OR(Table7[[#This Row],[Day]]="Saturday",Table7[[#This Row],[Day]]="Sunday"),"Weekend","Weekday")</f>
        <v>Weekday</v>
      </c>
    </row>
    <row r="57" spans="1:10" x14ac:dyDescent="0.3">
      <c r="A57" s="1">
        <v>46153</v>
      </c>
      <c r="B57" t="s">
        <v>8</v>
      </c>
      <c r="C57" t="s">
        <v>14</v>
      </c>
      <c r="D57" t="s">
        <v>30</v>
      </c>
      <c r="E57" t="s">
        <v>31</v>
      </c>
      <c r="F57" t="s">
        <v>17</v>
      </c>
      <c r="G57" t="s">
        <v>25</v>
      </c>
      <c r="H57">
        <v>1225</v>
      </c>
      <c r="I57" t="str">
        <f>TEXT(Table7[[#This Row],[Date]],"dddd")</f>
        <v>Monday</v>
      </c>
      <c r="J57" t="str">
        <f>IF(OR(Table7[[#This Row],[Day]]="Saturday",Table7[[#This Row],[Day]]="Sunday"),"Weekend","Weekday")</f>
        <v>Weekday</v>
      </c>
    </row>
    <row r="58" spans="1:10" x14ac:dyDescent="0.3">
      <c r="A58" s="1">
        <v>46154</v>
      </c>
      <c r="B58" t="s">
        <v>8</v>
      </c>
      <c r="C58" t="s">
        <v>26</v>
      </c>
      <c r="D58" t="s">
        <v>46</v>
      </c>
      <c r="E58" t="s">
        <v>47</v>
      </c>
      <c r="F58" t="s">
        <v>17</v>
      </c>
      <c r="G58" t="s">
        <v>18</v>
      </c>
      <c r="H58">
        <v>609</v>
      </c>
      <c r="I58" t="str">
        <f>TEXT(Table7[[#This Row],[Date]],"dddd")</f>
        <v>Tuesday</v>
      </c>
      <c r="J58" t="str">
        <f>IF(OR(Table7[[#This Row],[Day]]="Saturday",Table7[[#This Row],[Day]]="Sunday"),"Weekend","Weekday")</f>
        <v>Weekday</v>
      </c>
    </row>
    <row r="59" spans="1:10" x14ac:dyDescent="0.3">
      <c r="A59" s="1">
        <v>46154</v>
      </c>
      <c r="B59" t="s">
        <v>8</v>
      </c>
      <c r="C59" t="s">
        <v>14</v>
      </c>
      <c r="D59" t="s">
        <v>15</v>
      </c>
      <c r="E59" t="s">
        <v>16</v>
      </c>
      <c r="F59" t="s">
        <v>17</v>
      </c>
      <c r="G59" t="s">
        <v>25</v>
      </c>
      <c r="H59">
        <v>910</v>
      </c>
      <c r="I59" t="str">
        <f>TEXT(Table7[[#This Row],[Date]],"dddd")</f>
        <v>Tuesday</v>
      </c>
      <c r="J59" t="str">
        <f>IF(OR(Table7[[#This Row],[Day]]="Saturday",Table7[[#This Row],[Day]]="Sunday"),"Weekend","Weekday")</f>
        <v>Weekday</v>
      </c>
    </row>
    <row r="60" spans="1:10" x14ac:dyDescent="0.3">
      <c r="A60" s="1">
        <v>46154</v>
      </c>
      <c r="B60" t="s">
        <v>8</v>
      </c>
      <c r="C60" t="s">
        <v>35</v>
      </c>
      <c r="D60" t="s">
        <v>52</v>
      </c>
      <c r="E60" t="s">
        <v>53</v>
      </c>
      <c r="F60" t="s">
        <v>17</v>
      </c>
      <c r="G60" t="s">
        <v>18</v>
      </c>
      <c r="H60">
        <v>1110</v>
      </c>
      <c r="I60" t="str">
        <f>TEXT(Table7[[#This Row],[Date]],"dddd")</f>
        <v>Tuesday</v>
      </c>
      <c r="J60" t="str">
        <f>IF(OR(Table7[[#This Row],[Day]]="Saturday",Table7[[#This Row],[Day]]="Sunday"),"Weekend","Weekday")</f>
        <v>Weekday</v>
      </c>
    </row>
    <row r="61" spans="1:10" x14ac:dyDescent="0.3">
      <c r="A61" s="1">
        <v>46154</v>
      </c>
      <c r="B61" t="s">
        <v>8</v>
      </c>
      <c r="C61" t="s">
        <v>19</v>
      </c>
      <c r="D61" t="s">
        <v>44</v>
      </c>
      <c r="E61" t="s">
        <v>45</v>
      </c>
      <c r="F61" t="s">
        <v>17</v>
      </c>
      <c r="G61" t="s">
        <v>29</v>
      </c>
      <c r="H61">
        <v>1142</v>
      </c>
      <c r="I61" t="str">
        <f>TEXT(Table7[[#This Row],[Date]],"dddd")</f>
        <v>Tuesday</v>
      </c>
      <c r="J61" t="str">
        <f>IF(OR(Table7[[#This Row],[Day]]="Saturday",Table7[[#This Row],[Day]]="Sunday"),"Weekend","Weekday")</f>
        <v>Weekday</v>
      </c>
    </row>
    <row r="62" spans="1:10" x14ac:dyDescent="0.3">
      <c r="A62" s="1">
        <v>46154</v>
      </c>
      <c r="B62" t="s">
        <v>8</v>
      </c>
      <c r="C62" t="s">
        <v>14</v>
      </c>
      <c r="D62" t="s">
        <v>30</v>
      </c>
      <c r="E62" t="s">
        <v>31</v>
      </c>
      <c r="F62" t="s">
        <v>17</v>
      </c>
      <c r="G62" t="s">
        <v>29</v>
      </c>
      <c r="H62">
        <v>1136</v>
      </c>
      <c r="I62" t="str">
        <f>TEXT(Table7[[#This Row],[Date]],"dddd")</f>
        <v>Tuesday</v>
      </c>
      <c r="J62" t="str">
        <f>IF(OR(Table7[[#This Row],[Day]]="Saturday",Table7[[#This Row],[Day]]="Sunday"),"Weekend","Weekday")</f>
        <v>Weekday</v>
      </c>
    </row>
    <row r="63" spans="1:10" x14ac:dyDescent="0.3">
      <c r="A63" s="1">
        <v>46154</v>
      </c>
      <c r="B63" t="s">
        <v>8</v>
      </c>
      <c r="C63" t="s">
        <v>14</v>
      </c>
      <c r="D63" t="s">
        <v>56</v>
      </c>
      <c r="E63" t="s">
        <v>57</v>
      </c>
      <c r="F63" t="s">
        <v>17</v>
      </c>
      <c r="G63" t="s">
        <v>29</v>
      </c>
      <c r="H63">
        <v>213</v>
      </c>
      <c r="I63" t="str">
        <f>TEXT(Table7[[#This Row],[Date]],"dddd")</f>
        <v>Tuesday</v>
      </c>
      <c r="J63" t="str">
        <f>IF(OR(Table7[[#This Row],[Day]]="Saturday",Table7[[#This Row],[Day]]="Sunday"),"Weekend","Weekday")</f>
        <v>Weekday</v>
      </c>
    </row>
    <row r="64" spans="1:10" x14ac:dyDescent="0.3">
      <c r="A64" s="1">
        <v>46155</v>
      </c>
      <c r="B64" t="s">
        <v>8</v>
      </c>
      <c r="C64" t="s">
        <v>19</v>
      </c>
      <c r="D64" t="s">
        <v>20</v>
      </c>
      <c r="E64" t="s">
        <v>21</v>
      </c>
      <c r="F64" t="s">
        <v>17</v>
      </c>
      <c r="G64" t="s">
        <v>29</v>
      </c>
      <c r="H64">
        <v>476</v>
      </c>
      <c r="I64" t="str">
        <f>TEXT(Table7[[#This Row],[Date]],"dddd")</f>
        <v>Wednesday</v>
      </c>
      <c r="J64" t="str">
        <f>IF(OR(Table7[[#This Row],[Day]]="Saturday",Table7[[#This Row],[Day]]="Sunday"),"Weekend","Weekday")</f>
        <v>Weekday</v>
      </c>
    </row>
    <row r="65" spans="1:10" x14ac:dyDescent="0.3">
      <c r="A65" s="1">
        <v>46155</v>
      </c>
      <c r="B65" t="s">
        <v>8</v>
      </c>
      <c r="C65" t="s">
        <v>19</v>
      </c>
      <c r="D65" t="s">
        <v>20</v>
      </c>
      <c r="E65" t="s">
        <v>21</v>
      </c>
      <c r="F65" t="s">
        <v>17</v>
      </c>
      <c r="G65" t="s">
        <v>29</v>
      </c>
      <c r="H65">
        <v>1256</v>
      </c>
      <c r="I65" t="str">
        <f>TEXT(Table7[[#This Row],[Date]],"dddd")</f>
        <v>Wednesday</v>
      </c>
      <c r="J65" t="str">
        <f>IF(OR(Table7[[#This Row],[Day]]="Saturday",Table7[[#This Row],[Day]]="Sunday"),"Weekend","Weekday")</f>
        <v>Weekday</v>
      </c>
    </row>
    <row r="66" spans="1:10" x14ac:dyDescent="0.3">
      <c r="A66" s="1">
        <v>46155</v>
      </c>
      <c r="B66" t="s">
        <v>8</v>
      </c>
      <c r="C66" t="s">
        <v>26</v>
      </c>
      <c r="D66" t="s">
        <v>27</v>
      </c>
      <c r="E66" t="s">
        <v>28</v>
      </c>
      <c r="F66" t="s">
        <v>17</v>
      </c>
      <c r="G66" t="s">
        <v>25</v>
      </c>
      <c r="H66">
        <v>200</v>
      </c>
      <c r="I66" t="str">
        <f>TEXT(Table7[[#This Row],[Date]],"dddd")</f>
        <v>Wednesday</v>
      </c>
      <c r="J66" t="str">
        <f>IF(OR(Table7[[#This Row],[Day]]="Saturday",Table7[[#This Row],[Day]]="Sunday"),"Weekend","Weekday")</f>
        <v>Weekday</v>
      </c>
    </row>
    <row r="67" spans="1:10" x14ac:dyDescent="0.3">
      <c r="A67" s="1">
        <v>46155</v>
      </c>
      <c r="B67" t="s">
        <v>8</v>
      </c>
      <c r="C67" t="s">
        <v>14</v>
      </c>
      <c r="D67" t="s">
        <v>15</v>
      </c>
      <c r="E67" t="s">
        <v>16</v>
      </c>
      <c r="F67" t="s">
        <v>17</v>
      </c>
      <c r="G67" t="s">
        <v>29</v>
      </c>
      <c r="H67">
        <v>718</v>
      </c>
      <c r="I67" t="str">
        <f>TEXT(Table7[[#This Row],[Date]],"dddd")</f>
        <v>Wednesday</v>
      </c>
      <c r="J67" t="str">
        <f>IF(OR(Table7[[#This Row],[Day]]="Saturday",Table7[[#This Row],[Day]]="Sunday"),"Weekend","Weekday")</f>
        <v>Weekday</v>
      </c>
    </row>
    <row r="68" spans="1:10" x14ac:dyDescent="0.3">
      <c r="A68" s="1">
        <v>46155</v>
      </c>
      <c r="B68" t="s">
        <v>8</v>
      </c>
      <c r="C68" t="s">
        <v>14</v>
      </c>
      <c r="D68" t="s">
        <v>42</v>
      </c>
      <c r="E68" t="s">
        <v>43</v>
      </c>
      <c r="F68" t="s">
        <v>17</v>
      </c>
      <c r="G68" t="s">
        <v>25</v>
      </c>
      <c r="H68">
        <v>1030</v>
      </c>
      <c r="I68" t="str">
        <f>TEXT(Table7[[#This Row],[Date]],"dddd")</f>
        <v>Wednesday</v>
      </c>
      <c r="J68" t="str">
        <f>IF(OR(Table7[[#This Row],[Day]]="Saturday",Table7[[#This Row],[Day]]="Sunday"),"Weekend","Weekday")</f>
        <v>Weekday</v>
      </c>
    </row>
    <row r="69" spans="1:10" x14ac:dyDescent="0.3">
      <c r="A69" s="1">
        <v>46156</v>
      </c>
      <c r="B69" t="s">
        <v>8</v>
      </c>
      <c r="C69" t="s">
        <v>26</v>
      </c>
      <c r="D69" t="s">
        <v>46</v>
      </c>
      <c r="E69" t="s">
        <v>47</v>
      </c>
      <c r="F69" t="s">
        <v>17</v>
      </c>
      <c r="G69" t="s">
        <v>25</v>
      </c>
      <c r="H69">
        <v>1112</v>
      </c>
      <c r="I69" t="str">
        <f>TEXT(Table7[[#This Row],[Date]],"dddd")</f>
        <v>Thursday</v>
      </c>
      <c r="J69" t="str">
        <f>IF(OR(Table7[[#This Row],[Day]]="Saturday",Table7[[#This Row],[Day]]="Sunday"),"Weekend","Weekday")</f>
        <v>Weekday</v>
      </c>
    </row>
    <row r="70" spans="1:10" x14ac:dyDescent="0.3">
      <c r="A70" s="1">
        <v>46156</v>
      </c>
      <c r="B70" t="s">
        <v>8</v>
      </c>
      <c r="C70" t="s">
        <v>35</v>
      </c>
      <c r="D70" t="s">
        <v>52</v>
      </c>
      <c r="E70" t="s">
        <v>53</v>
      </c>
      <c r="F70" t="s">
        <v>17</v>
      </c>
      <c r="G70" t="s">
        <v>18</v>
      </c>
      <c r="H70">
        <v>981</v>
      </c>
      <c r="I70" t="str">
        <f>TEXT(Table7[[#This Row],[Date]],"dddd")</f>
        <v>Thursday</v>
      </c>
      <c r="J70" t="str">
        <f>IF(OR(Table7[[#This Row],[Day]]="Saturday",Table7[[#This Row],[Day]]="Sunday"),"Weekend","Weekday")</f>
        <v>Weekday</v>
      </c>
    </row>
    <row r="71" spans="1:10" x14ac:dyDescent="0.3">
      <c r="A71" s="1">
        <v>46156</v>
      </c>
      <c r="B71" t="s">
        <v>8</v>
      </c>
      <c r="C71" t="s">
        <v>35</v>
      </c>
      <c r="D71" t="s">
        <v>36</v>
      </c>
      <c r="E71" t="s">
        <v>37</v>
      </c>
      <c r="F71" t="s">
        <v>17</v>
      </c>
      <c r="G71" t="s">
        <v>18</v>
      </c>
      <c r="H71">
        <v>1274</v>
      </c>
      <c r="I71" t="str">
        <f>TEXT(Table7[[#This Row],[Date]],"dddd")</f>
        <v>Thursday</v>
      </c>
      <c r="J71" t="str">
        <f>IF(OR(Table7[[#This Row],[Day]]="Saturday",Table7[[#This Row],[Day]]="Sunday"),"Weekend","Weekday")</f>
        <v>Weekday</v>
      </c>
    </row>
    <row r="72" spans="1:10" x14ac:dyDescent="0.3">
      <c r="A72" s="1">
        <v>46156</v>
      </c>
      <c r="B72" t="s">
        <v>8</v>
      </c>
      <c r="C72" t="s">
        <v>26</v>
      </c>
      <c r="D72" t="s">
        <v>46</v>
      </c>
      <c r="E72" t="s">
        <v>47</v>
      </c>
      <c r="F72" t="s">
        <v>17</v>
      </c>
      <c r="G72" t="s">
        <v>29</v>
      </c>
      <c r="H72">
        <v>266</v>
      </c>
      <c r="I72" t="str">
        <f>TEXT(Table7[[#This Row],[Date]],"dddd")</f>
        <v>Thursday</v>
      </c>
      <c r="J72" t="str">
        <f>IF(OR(Table7[[#This Row],[Day]]="Saturday",Table7[[#This Row],[Day]]="Sunday"),"Weekend","Weekday")</f>
        <v>Weekday</v>
      </c>
    </row>
    <row r="73" spans="1:10" x14ac:dyDescent="0.3">
      <c r="A73" s="1">
        <v>46156</v>
      </c>
      <c r="B73" t="s">
        <v>8</v>
      </c>
      <c r="C73" t="s">
        <v>22</v>
      </c>
      <c r="D73" t="s">
        <v>50</v>
      </c>
      <c r="E73" t="s">
        <v>51</v>
      </c>
      <c r="F73" t="s">
        <v>17</v>
      </c>
      <c r="G73" t="s">
        <v>18</v>
      </c>
      <c r="H73">
        <v>568</v>
      </c>
      <c r="I73" t="str">
        <f>TEXT(Table7[[#This Row],[Date]],"dddd")</f>
        <v>Thursday</v>
      </c>
      <c r="J73" t="str">
        <f>IF(OR(Table7[[#This Row],[Day]]="Saturday",Table7[[#This Row],[Day]]="Sunday"),"Weekend","Weekday")</f>
        <v>Weekday</v>
      </c>
    </row>
    <row r="74" spans="1:10" x14ac:dyDescent="0.3">
      <c r="A74" s="1">
        <v>46157</v>
      </c>
      <c r="B74" t="s">
        <v>8</v>
      </c>
      <c r="C74" t="s">
        <v>26</v>
      </c>
      <c r="D74" t="s">
        <v>27</v>
      </c>
      <c r="E74" t="s">
        <v>28</v>
      </c>
      <c r="F74" t="s">
        <v>17</v>
      </c>
      <c r="G74" t="s">
        <v>29</v>
      </c>
      <c r="H74">
        <v>761</v>
      </c>
      <c r="I74" t="str">
        <f>TEXT(Table7[[#This Row],[Date]],"dddd")</f>
        <v>Friday</v>
      </c>
      <c r="J74" t="str">
        <f>IF(OR(Table7[[#This Row],[Day]]="Saturday",Table7[[#This Row],[Day]]="Sunday"),"Weekend","Weekday")</f>
        <v>Weekday</v>
      </c>
    </row>
    <row r="75" spans="1:10" x14ac:dyDescent="0.3">
      <c r="A75" s="1">
        <v>46157</v>
      </c>
      <c r="B75" t="s">
        <v>8</v>
      </c>
      <c r="C75" t="s">
        <v>19</v>
      </c>
      <c r="D75" t="s">
        <v>44</v>
      </c>
      <c r="E75" t="s">
        <v>45</v>
      </c>
      <c r="F75" t="s">
        <v>17</v>
      </c>
      <c r="G75" t="s">
        <v>25</v>
      </c>
      <c r="H75">
        <v>516</v>
      </c>
      <c r="I75" t="str">
        <f>TEXT(Table7[[#This Row],[Date]],"dddd")</f>
        <v>Friday</v>
      </c>
      <c r="J75" t="str">
        <f>IF(OR(Table7[[#This Row],[Day]]="Saturday",Table7[[#This Row],[Day]]="Sunday"),"Weekend","Weekday")</f>
        <v>Weekday</v>
      </c>
    </row>
    <row r="76" spans="1:10" x14ac:dyDescent="0.3">
      <c r="A76" s="1">
        <v>46157</v>
      </c>
      <c r="B76" t="s">
        <v>8</v>
      </c>
      <c r="C76" t="s">
        <v>14</v>
      </c>
      <c r="D76" t="s">
        <v>42</v>
      </c>
      <c r="E76" t="s">
        <v>43</v>
      </c>
      <c r="F76" t="s">
        <v>17</v>
      </c>
      <c r="G76" t="s">
        <v>29</v>
      </c>
      <c r="H76">
        <v>1483</v>
      </c>
      <c r="I76" t="str">
        <f>TEXT(Table7[[#This Row],[Date]],"dddd")</f>
        <v>Friday</v>
      </c>
      <c r="J76" t="str">
        <f>IF(OR(Table7[[#This Row],[Day]]="Saturday",Table7[[#This Row],[Day]]="Sunday"),"Weekend","Weekday")</f>
        <v>Weekday</v>
      </c>
    </row>
    <row r="77" spans="1:10" x14ac:dyDescent="0.3">
      <c r="A77" s="1">
        <v>46157</v>
      </c>
      <c r="B77" t="s">
        <v>8</v>
      </c>
      <c r="C77" t="s">
        <v>14</v>
      </c>
      <c r="D77" t="s">
        <v>15</v>
      </c>
      <c r="E77" t="s">
        <v>16</v>
      </c>
      <c r="F77" t="s">
        <v>17</v>
      </c>
      <c r="G77" t="s">
        <v>18</v>
      </c>
      <c r="H77">
        <v>1035</v>
      </c>
      <c r="I77" t="str">
        <f>TEXT(Table7[[#This Row],[Date]],"dddd")</f>
        <v>Friday</v>
      </c>
      <c r="J77" t="str">
        <f>IF(OR(Table7[[#This Row],[Day]]="Saturday",Table7[[#This Row],[Day]]="Sunday"),"Weekend","Weekday")</f>
        <v>Weekday</v>
      </c>
    </row>
    <row r="78" spans="1:10" x14ac:dyDescent="0.3">
      <c r="A78" s="1">
        <v>46157</v>
      </c>
      <c r="B78" t="s">
        <v>8</v>
      </c>
      <c r="C78" t="s">
        <v>19</v>
      </c>
      <c r="D78" t="s">
        <v>44</v>
      </c>
      <c r="E78" t="s">
        <v>45</v>
      </c>
      <c r="F78" t="s">
        <v>17</v>
      </c>
      <c r="G78" t="s">
        <v>18</v>
      </c>
      <c r="H78">
        <v>559</v>
      </c>
      <c r="I78" t="str">
        <f>TEXT(Table7[[#This Row],[Date]],"dddd")</f>
        <v>Friday</v>
      </c>
      <c r="J78" t="str">
        <f>IF(OR(Table7[[#This Row],[Day]]="Saturday",Table7[[#This Row],[Day]]="Sunday"),"Weekend","Weekday")</f>
        <v>Weekday</v>
      </c>
    </row>
    <row r="79" spans="1:10" x14ac:dyDescent="0.3">
      <c r="A79" s="1">
        <v>46157</v>
      </c>
      <c r="B79" t="s">
        <v>8</v>
      </c>
      <c r="C79" t="s">
        <v>14</v>
      </c>
      <c r="D79" t="s">
        <v>42</v>
      </c>
      <c r="E79" t="s">
        <v>43</v>
      </c>
      <c r="F79" t="s">
        <v>17</v>
      </c>
      <c r="G79" t="s">
        <v>25</v>
      </c>
      <c r="H79">
        <v>726</v>
      </c>
      <c r="I79" t="str">
        <f>TEXT(Table7[[#This Row],[Date]],"dddd")</f>
        <v>Friday</v>
      </c>
      <c r="J79" t="str">
        <f>IF(OR(Table7[[#This Row],[Day]]="Saturday",Table7[[#This Row],[Day]]="Sunday"),"Weekend","Weekday")</f>
        <v>Weekday</v>
      </c>
    </row>
    <row r="80" spans="1:10" x14ac:dyDescent="0.3">
      <c r="A80" s="1">
        <v>46158</v>
      </c>
      <c r="B80" t="s">
        <v>8</v>
      </c>
      <c r="C80" t="s">
        <v>26</v>
      </c>
      <c r="D80" t="s">
        <v>27</v>
      </c>
      <c r="E80" t="s">
        <v>28</v>
      </c>
      <c r="F80" t="s">
        <v>17</v>
      </c>
      <c r="G80" t="s">
        <v>18</v>
      </c>
      <c r="H80">
        <v>607</v>
      </c>
      <c r="I80" t="str">
        <f>TEXT(Table7[[#This Row],[Date]],"dddd")</f>
        <v>Saturday</v>
      </c>
      <c r="J80" t="str">
        <f>IF(OR(Table7[[#This Row],[Day]]="Saturday",Table7[[#This Row],[Day]]="Sunday"),"Weekend","Weekday")</f>
        <v>Weekend</v>
      </c>
    </row>
    <row r="81" spans="1:10" x14ac:dyDescent="0.3">
      <c r="A81" s="1">
        <v>46158</v>
      </c>
      <c r="B81" t="s">
        <v>8</v>
      </c>
      <c r="C81" t="s">
        <v>19</v>
      </c>
      <c r="D81" t="s">
        <v>20</v>
      </c>
      <c r="E81" t="s">
        <v>21</v>
      </c>
      <c r="F81" t="s">
        <v>17</v>
      </c>
      <c r="G81" t="s">
        <v>25</v>
      </c>
      <c r="H81">
        <v>873</v>
      </c>
      <c r="I81" t="str">
        <f>TEXT(Table7[[#This Row],[Date]],"dddd")</f>
        <v>Saturday</v>
      </c>
      <c r="J81" t="str">
        <f>IF(OR(Table7[[#This Row],[Day]]="Saturday",Table7[[#This Row],[Day]]="Sunday"),"Weekend","Weekday")</f>
        <v>Weekend</v>
      </c>
    </row>
    <row r="82" spans="1:10" x14ac:dyDescent="0.3">
      <c r="A82" s="1">
        <v>46158</v>
      </c>
      <c r="B82" t="s">
        <v>8</v>
      </c>
      <c r="C82" t="s">
        <v>26</v>
      </c>
      <c r="D82" t="s">
        <v>54</v>
      </c>
      <c r="E82" t="s">
        <v>55</v>
      </c>
      <c r="F82" t="s">
        <v>17</v>
      </c>
      <c r="G82" t="s">
        <v>29</v>
      </c>
      <c r="H82">
        <v>274</v>
      </c>
      <c r="I82" t="str">
        <f>TEXT(Table7[[#This Row],[Date]],"dddd")</f>
        <v>Saturday</v>
      </c>
      <c r="J82" t="str">
        <f>IF(OR(Table7[[#This Row],[Day]]="Saturday",Table7[[#This Row],[Day]]="Sunday"),"Weekend","Weekday")</f>
        <v>Weekend</v>
      </c>
    </row>
    <row r="83" spans="1:10" x14ac:dyDescent="0.3">
      <c r="A83" s="1">
        <v>46158</v>
      </c>
      <c r="B83" t="s">
        <v>8</v>
      </c>
      <c r="C83" t="s">
        <v>35</v>
      </c>
      <c r="D83" t="s">
        <v>52</v>
      </c>
      <c r="E83" t="s">
        <v>53</v>
      </c>
      <c r="F83" t="s">
        <v>17</v>
      </c>
      <c r="G83" t="s">
        <v>25</v>
      </c>
      <c r="H83">
        <v>1265</v>
      </c>
      <c r="I83" t="str">
        <f>TEXT(Table7[[#This Row],[Date]],"dddd")</f>
        <v>Saturday</v>
      </c>
      <c r="J83" t="str">
        <f>IF(OR(Table7[[#This Row],[Day]]="Saturday",Table7[[#This Row],[Day]]="Sunday"),"Weekend","Weekday")</f>
        <v>Weekend</v>
      </c>
    </row>
    <row r="84" spans="1:10" x14ac:dyDescent="0.3">
      <c r="A84" s="1">
        <v>46158</v>
      </c>
      <c r="B84" t="s">
        <v>8</v>
      </c>
      <c r="C84" t="s">
        <v>22</v>
      </c>
      <c r="D84" t="s">
        <v>23</v>
      </c>
      <c r="E84" t="s">
        <v>24</v>
      </c>
      <c r="F84" t="s">
        <v>17</v>
      </c>
      <c r="G84" t="s">
        <v>25</v>
      </c>
      <c r="H84">
        <v>407</v>
      </c>
      <c r="I84" t="str">
        <f>TEXT(Table7[[#This Row],[Date]],"dddd")</f>
        <v>Saturday</v>
      </c>
      <c r="J84" t="str">
        <f>IF(OR(Table7[[#This Row],[Day]]="Saturday",Table7[[#This Row],[Day]]="Sunday"),"Weekend","Weekday")</f>
        <v>Weekend</v>
      </c>
    </row>
    <row r="85" spans="1:10" x14ac:dyDescent="0.3">
      <c r="A85" s="1">
        <v>46158</v>
      </c>
      <c r="B85" t="s">
        <v>8</v>
      </c>
      <c r="C85" t="s">
        <v>26</v>
      </c>
      <c r="D85" t="s">
        <v>27</v>
      </c>
      <c r="E85" t="s">
        <v>28</v>
      </c>
      <c r="F85" t="s">
        <v>17</v>
      </c>
      <c r="G85" t="s">
        <v>29</v>
      </c>
      <c r="H85">
        <v>212</v>
      </c>
      <c r="I85" t="str">
        <f>TEXT(Table7[[#This Row],[Date]],"dddd")</f>
        <v>Saturday</v>
      </c>
      <c r="J85" t="str">
        <f>IF(OR(Table7[[#This Row],[Day]]="Saturday",Table7[[#This Row],[Day]]="Sunday"),"Weekend","Weekday")</f>
        <v>Weekend</v>
      </c>
    </row>
    <row r="86" spans="1:10" x14ac:dyDescent="0.3">
      <c r="A86" s="1">
        <v>46159</v>
      </c>
      <c r="B86" t="s">
        <v>8</v>
      </c>
      <c r="C86" t="s">
        <v>14</v>
      </c>
      <c r="D86" t="s">
        <v>56</v>
      </c>
      <c r="E86" t="s">
        <v>57</v>
      </c>
      <c r="F86" t="s">
        <v>17</v>
      </c>
      <c r="G86" t="s">
        <v>18</v>
      </c>
      <c r="H86">
        <v>374</v>
      </c>
      <c r="I86" t="str">
        <f>TEXT(Table7[[#This Row],[Date]],"dddd")</f>
        <v>Sunday</v>
      </c>
      <c r="J86" t="str">
        <f>IF(OR(Table7[[#This Row],[Day]]="Saturday",Table7[[#This Row],[Day]]="Sunday"),"Weekend","Weekday")</f>
        <v>Weekend</v>
      </c>
    </row>
    <row r="87" spans="1:10" x14ac:dyDescent="0.3">
      <c r="A87" s="1">
        <v>46159</v>
      </c>
      <c r="B87" t="s">
        <v>8</v>
      </c>
      <c r="C87" t="s">
        <v>22</v>
      </c>
      <c r="D87" t="s">
        <v>23</v>
      </c>
      <c r="E87" t="s">
        <v>24</v>
      </c>
      <c r="F87" t="s">
        <v>17</v>
      </c>
      <c r="G87" t="s">
        <v>29</v>
      </c>
      <c r="H87">
        <v>1277</v>
      </c>
      <c r="I87" t="str">
        <f>TEXT(Table7[[#This Row],[Date]],"dddd")</f>
        <v>Sunday</v>
      </c>
      <c r="J87" t="str">
        <f>IF(OR(Table7[[#This Row],[Day]]="Saturday",Table7[[#This Row],[Day]]="Sunday"),"Weekend","Weekday")</f>
        <v>Weekend</v>
      </c>
    </row>
    <row r="88" spans="1:10" x14ac:dyDescent="0.3">
      <c r="A88" s="1">
        <v>46159</v>
      </c>
      <c r="B88" t="s">
        <v>8</v>
      </c>
      <c r="C88" t="s">
        <v>26</v>
      </c>
      <c r="D88" t="s">
        <v>54</v>
      </c>
      <c r="E88" t="s">
        <v>55</v>
      </c>
      <c r="F88" t="s">
        <v>17</v>
      </c>
      <c r="G88" t="s">
        <v>25</v>
      </c>
      <c r="H88">
        <v>1069</v>
      </c>
      <c r="I88" t="str">
        <f>TEXT(Table7[[#This Row],[Date]],"dddd")</f>
        <v>Sunday</v>
      </c>
      <c r="J88" t="str">
        <f>IF(OR(Table7[[#This Row],[Day]]="Saturday",Table7[[#This Row],[Day]]="Sunday"),"Weekend","Weekday")</f>
        <v>Weekend</v>
      </c>
    </row>
    <row r="89" spans="1:10" x14ac:dyDescent="0.3">
      <c r="A89" s="1">
        <v>46160</v>
      </c>
      <c r="B89" t="s">
        <v>8</v>
      </c>
      <c r="C89" t="s">
        <v>35</v>
      </c>
      <c r="D89" t="s">
        <v>48</v>
      </c>
      <c r="E89" t="s">
        <v>49</v>
      </c>
      <c r="F89" t="s">
        <v>17</v>
      </c>
      <c r="G89" t="s">
        <v>29</v>
      </c>
      <c r="H89">
        <v>119</v>
      </c>
      <c r="I89" t="str">
        <f>TEXT(Table7[[#This Row],[Date]],"dddd")</f>
        <v>Monday</v>
      </c>
      <c r="J89" t="str">
        <f>IF(OR(Table7[[#This Row],[Day]]="Saturday",Table7[[#This Row],[Day]]="Sunday"),"Weekend","Weekday")</f>
        <v>Weekday</v>
      </c>
    </row>
    <row r="90" spans="1:10" x14ac:dyDescent="0.3">
      <c r="A90" s="1">
        <v>46160</v>
      </c>
      <c r="B90" t="s">
        <v>8</v>
      </c>
      <c r="C90" t="s">
        <v>35</v>
      </c>
      <c r="D90" t="s">
        <v>36</v>
      </c>
      <c r="E90" t="s">
        <v>37</v>
      </c>
      <c r="F90" t="s">
        <v>17</v>
      </c>
      <c r="G90" t="s">
        <v>29</v>
      </c>
      <c r="H90">
        <v>1155</v>
      </c>
      <c r="I90" t="str">
        <f>TEXT(Table7[[#This Row],[Date]],"dddd")</f>
        <v>Monday</v>
      </c>
      <c r="J90" t="str">
        <f>IF(OR(Table7[[#This Row],[Day]]="Saturday",Table7[[#This Row],[Day]]="Sunday"),"Weekend","Weekday")</f>
        <v>Weekday</v>
      </c>
    </row>
    <row r="91" spans="1:10" x14ac:dyDescent="0.3">
      <c r="A91" s="1">
        <v>46160</v>
      </c>
      <c r="B91" t="s">
        <v>8</v>
      </c>
      <c r="C91" t="s">
        <v>14</v>
      </c>
      <c r="D91" t="s">
        <v>42</v>
      </c>
      <c r="E91" t="s">
        <v>43</v>
      </c>
      <c r="F91" t="s">
        <v>17</v>
      </c>
      <c r="G91" t="s">
        <v>29</v>
      </c>
      <c r="H91">
        <v>1427</v>
      </c>
      <c r="I91" t="str">
        <f>TEXT(Table7[[#This Row],[Date]],"dddd")</f>
        <v>Monday</v>
      </c>
      <c r="J91" t="str">
        <f>IF(OR(Table7[[#This Row],[Day]]="Saturday",Table7[[#This Row],[Day]]="Sunday"),"Weekend","Weekday")</f>
        <v>Weekday</v>
      </c>
    </row>
    <row r="92" spans="1:10" x14ac:dyDescent="0.3">
      <c r="A92" s="1">
        <v>46160</v>
      </c>
      <c r="B92" t="s">
        <v>8</v>
      </c>
      <c r="C92" t="s">
        <v>14</v>
      </c>
      <c r="D92" t="s">
        <v>15</v>
      </c>
      <c r="E92" t="s">
        <v>16</v>
      </c>
      <c r="F92" t="s">
        <v>17</v>
      </c>
      <c r="G92" t="s">
        <v>25</v>
      </c>
      <c r="H92">
        <v>1319</v>
      </c>
      <c r="I92" t="str">
        <f>TEXT(Table7[[#This Row],[Date]],"dddd")</f>
        <v>Monday</v>
      </c>
      <c r="J92" t="str">
        <f>IF(OR(Table7[[#This Row],[Day]]="Saturday",Table7[[#This Row],[Day]]="Sunday"),"Weekend","Weekday")</f>
        <v>Weekday</v>
      </c>
    </row>
    <row r="93" spans="1:10" x14ac:dyDescent="0.3">
      <c r="A93" s="1">
        <v>46160</v>
      </c>
      <c r="B93" t="s">
        <v>8</v>
      </c>
      <c r="C93" t="s">
        <v>26</v>
      </c>
      <c r="D93" t="s">
        <v>27</v>
      </c>
      <c r="E93" t="s">
        <v>28</v>
      </c>
      <c r="F93" t="s">
        <v>17</v>
      </c>
      <c r="G93" t="s">
        <v>18</v>
      </c>
      <c r="H93">
        <v>1345</v>
      </c>
      <c r="I93" t="str">
        <f>TEXT(Table7[[#This Row],[Date]],"dddd")</f>
        <v>Monday</v>
      </c>
      <c r="J93" t="str">
        <f>IF(OR(Table7[[#This Row],[Day]]="Saturday",Table7[[#This Row],[Day]]="Sunday"),"Weekend","Weekday")</f>
        <v>Weekday</v>
      </c>
    </row>
    <row r="94" spans="1:10" x14ac:dyDescent="0.3">
      <c r="A94" s="1">
        <v>46161</v>
      </c>
      <c r="B94" t="s">
        <v>8</v>
      </c>
      <c r="C94" t="s">
        <v>26</v>
      </c>
      <c r="D94" t="s">
        <v>27</v>
      </c>
      <c r="E94" t="s">
        <v>28</v>
      </c>
      <c r="F94" t="s">
        <v>17</v>
      </c>
      <c r="G94" t="s">
        <v>25</v>
      </c>
      <c r="H94">
        <v>1464</v>
      </c>
      <c r="I94" t="str">
        <f>TEXT(Table7[[#This Row],[Date]],"dddd")</f>
        <v>Tuesday</v>
      </c>
      <c r="J94" t="str">
        <f>IF(OR(Table7[[#This Row],[Day]]="Saturday",Table7[[#This Row],[Day]]="Sunday"),"Weekend","Weekday")</f>
        <v>Weekday</v>
      </c>
    </row>
    <row r="95" spans="1:10" x14ac:dyDescent="0.3">
      <c r="A95" s="1">
        <v>46161</v>
      </c>
      <c r="B95" t="s">
        <v>8</v>
      </c>
      <c r="C95" t="s">
        <v>35</v>
      </c>
      <c r="D95" t="s">
        <v>48</v>
      </c>
      <c r="E95" t="s">
        <v>49</v>
      </c>
      <c r="F95" t="s">
        <v>17</v>
      </c>
      <c r="G95" t="s">
        <v>25</v>
      </c>
      <c r="H95">
        <v>697</v>
      </c>
      <c r="I95" t="str">
        <f>TEXT(Table7[[#This Row],[Date]],"dddd")</f>
        <v>Tuesday</v>
      </c>
      <c r="J95" t="str">
        <f>IF(OR(Table7[[#This Row],[Day]]="Saturday",Table7[[#This Row],[Day]]="Sunday"),"Weekend","Weekday")</f>
        <v>Weekday</v>
      </c>
    </row>
    <row r="96" spans="1:10" x14ac:dyDescent="0.3">
      <c r="A96" s="1">
        <v>46161</v>
      </c>
      <c r="B96" t="s">
        <v>8</v>
      </c>
      <c r="C96" t="s">
        <v>26</v>
      </c>
      <c r="D96" t="s">
        <v>54</v>
      </c>
      <c r="E96" t="s">
        <v>55</v>
      </c>
      <c r="F96" t="s">
        <v>17</v>
      </c>
      <c r="G96" t="s">
        <v>18</v>
      </c>
      <c r="H96">
        <v>833</v>
      </c>
      <c r="I96" t="str">
        <f>TEXT(Table7[[#This Row],[Date]],"dddd")</f>
        <v>Tuesday</v>
      </c>
      <c r="J96" t="str">
        <f>IF(OR(Table7[[#This Row],[Day]]="Saturday",Table7[[#This Row],[Day]]="Sunday"),"Weekend","Weekday")</f>
        <v>Weekday</v>
      </c>
    </row>
    <row r="97" spans="1:10" x14ac:dyDescent="0.3">
      <c r="A97" s="1">
        <v>46161</v>
      </c>
      <c r="B97" t="s">
        <v>8</v>
      </c>
      <c r="C97" t="s">
        <v>26</v>
      </c>
      <c r="D97" t="s">
        <v>46</v>
      </c>
      <c r="E97" t="s">
        <v>47</v>
      </c>
      <c r="F97" t="s">
        <v>17</v>
      </c>
      <c r="G97" t="s">
        <v>18</v>
      </c>
      <c r="H97">
        <v>173</v>
      </c>
      <c r="I97" t="str">
        <f>TEXT(Table7[[#This Row],[Date]],"dddd")</f>
        <v>Tuesday</v>
      </c>
      <c r="J97" t="str">
        <f>IF(OR(Table7[[#This Row],[Day]]="Saturday",Table7[[#This Row],[Day]]="Sunday"),"Weekend","Weekday")</f>
        <v>Weekday</v>
      </c>
    </row>
    <row r="98" spans="1:10" x14ac:dyDescent="0.3">
      <c r="A98" s="1">
        <v>46161</v>
      </c>
      <c r="B98" t="s">
        <v>8</v>
      </c>
      <c r="C98" t="s">
        <v>26</v>
      </c>
      <c r="D98" t="s">
        <v>54</v>
      </c>
      <c r="E98" t="s">
        <v>55</v>
      </c>
      <c r="F98" t="s">
        <v>17</v>
      </c>
      <c r="G98" t="s">
        <v>25</v>
      </c>
      <c r="H98">
        <v>84</v>
      </c>
      <c r="I98" t="str">
        <f>TEXT(Table7[[#This Row],[Date]],"dddd")</f>
        <v>Tuesday</v>
      </c>
      <c r="J98" t="str">
        <f>IF(OR(Table7[[#This Row],[Day]]="Saturday",Table7[[#This Row],[Day]]="Sunday"),"Weekend","Weekday")</f>
        <v>Weekday</v>
      </c>
    </row>
    <row r="99" spans="1:10" x14ac:dyDescent="0.3">
      <c r="A99" s="1">
        <v>46161</v>
      </c>
      <c r="B99" t="s">
        <v>8</v>
      </c>
      <c r="C99" t="s">
        <v>26</v>
      </c>
      <c r="D99" t="s">
        <v>46</v>
      </c>
      <c r="E99" t="s">
        <v>47</v>
      </c>
      <c r="F99" t="s">
        <v>17</v>
      </c>
      <c r="G99" t="s">
        <v>18</v>
      </c>
      <c r="H99">
        <v>174</v>
      </c>
      <c r="I99" t="str">
        <f>TEXT(Table7[[#This Row],[Date]],"dddd")</f>
        <v>Tuesday</v>
      </c>
      <c r="J99" t="str">
        <f>IF(OR(Table7[[#This Row],[Day]]="Saturday",Table7[[#This Row],[Day]]="Sunday"),"Weekend","Weekday")</f>
        <v>Weekday</v>
      </c>
    </row>
    <row r="100" spans="1:10" x14ac:dyDescent="0.3">
      <c r="A100" s="1">
        <v>46161</v>
      </c>
      <c r="B100" t="s">
        <v>8</v>
      </c>
      <c r="C100" t="s">
        <v>26</v>
      </c>
      <c r="D100" t="s">
        <v>27</v>
      </c>
      <c r="E100" t="s">
        <v>28</v>
      </c>
      <c r="F100" t="s">
        <v>17</v>
      </c>
      <c r="G100" t="s">
        <v>25</v>
      </c>
      <c r="H100">
        <v>373</v>
      </c>
      <c r="I100" t="str">
        <f>TEXT(Table7[[#This Row],[Date]],"dddd")</f>
        <v>Tuesday</v>
      </c>
      <c r="J100" t="str">
        <f>IF(OR(Table7[[#This Row],[Day]]="Saturday",Table7[[#This Row],[Day]]="Sunday"),"Weekend","Weekday")</f>
        <v>Weekday</v>
      </c>
    </row>
    <row r="101" spans="1:10" x14ac:dyDescent="0.3">
      <c r="A101" s="1">
        <v>46162</v>
      </c>
      <c r="B101" t="s">
        <v>8</v>
      </c>
      <c r="C101" t="s">
        <v>26</v>
      </c>
      <c r="D101" t="s">
        <v>54</v>
      </c>
      <c r="E101" t="s">
        <v>55</v>
      </c>
      <c r="F101" t="s">
        <v>17</v>
      </c>
      <c r="G101" t="s">
        <v>29</v>
      </c>
      <c r="H101">
        <v>817</v>
      </c>
      <c r="I101" t="str">
        <f>TEXT(Table7[[#This Row],[Date]],"dddd")</f>
        <v>Wednesday</v>
      </c>
      <c r="J101" t="str">
        <f>IF(OR(Table7[[#This Row],[Day]]="Saturday",Table7[[#This Row],[Day]]="Sunday"),"Weekend","Weekday")</f>
        <v>Weekday</v>
      </c>
    </row>
    <row r="102" spans="1:10" x14ac:dyDescent="0.3">
      <c r="A102" s="1">
        <v>46162</v>
      </c>
      <c r="B102" t="s">
        <v>8</v>
      </c>
      <c r="C102" t="s">
        <v>19</v>
      </c>
      <c r="D102" t="s">
        <v>20</v>
      </c>
      <c r="E102" t="s">
        <v>21</v>
      </c>
      <c r="F102" t="s">
        <v>17</v>
      </c>
      <c r="G102" t="s">
        <v>25</v>
      </c>
      <c r="H102">
        <v>120</v>
      </c>
      <c r="I102" t="str">
        <f>TEXT(Table7[[#This Row],[Date]],"dddd")</f>
        <v>Wednesday</v>
      </c>
      <c r="J102" t="str">
        <f>IF(OR(Table7[[#This Row],[Day]]="Saturday",Table7[[#This Row],[Day]]="Sunday"),"Weekend","Weekday")</f>
        <v>Weekday</v>
      </c>
    </row>
    <row r="103" spans="1:10" x14ac:dyDescent="0.3">
      <c r="A103" s="1">
        <v>46162</v>
      </c>
      <c r="B103" t="s">
        <v>8</v>
      </c>
      <c r="C103" t="s">
        <v>22</v>
      </c>
      <c r="D103" t="s">
        <v>23</v>
      </c>
      <c r="E103" t="s">
        <v>24</v>
      </c>
      <c r="F103" t="s">
        <v>17</v>
      </c>
      <c r="G103" t="s">
        <v>25</v>
      </c>
      <c r="H103">
        <v>1343</v>
      </c>
      <c r="I103" t="str">
        <f>TEXT(Table7[[#This Row],[Date]],"dddd")</f>
        <v>Wednesday</v>
      </c>
      <c r="J103" t="str">
        <f>IF(OR(Table7[[#This Row],[Day]]="Saturday",Table7[[#This Row],[Day]]="Sunday"),"Weekend","Weekday")</f>
        <v>Weekday</v>
      </c>
    </row>
    <row r="104" spans="1:10" x14ac:dyDescent="0.3">
      <c r="A104" s="1">
        <v>46162</v>
      </c>
      <c r="B104" t="s">
        <v>8</v>
      </c>
      <c r="C104" t="s">
        <v>35</v>
      </c>
      <c r="D104" t="s">
        <v>36</v>
      </c>
      <c r="E104" t="s">
        <v>37</v>
      </c>
      <c r="F104" t="s">
        <v>17</v>
      </c>
      <c r="G104" t="s">
        <v>18</v>
      </c>
      <c r="H104">
        <v>576</v>
      </c>
      <c r="I104" t="str">
        <f>TEXT(Table7[[#This Row],[Date]],"dddd")</f>
        <v>Wednesday</v>
      </c>
      <c r="J104" t="str">
        <f>IF(OR(Table7[[#This Row],[Day]]="Saturday",Table7[[#This Row],[Day]]="Sunday"),"Weekend","Weekday")</f>
        <v>Weekday</v>
      </c>
    </row>
    <row r="105" spans="1:10" x14ac:dyDescent="0.3">
      <c r="A105" s="1">
        <v>46162</v>
      </c>
      <c r="B105" t="s">
        <v>8</v>
      </c>
      <c r="C105" t="s">
        <v>22</v>
      </c>
      <c r="D105" t="s">
        <v>23</v>
      </c>
      <c r="E105" t="s">
        <v>24</v>
      </c>
      <c r="F105" t="s">
        <v>17</v>
      </c>
      <c r="G105" t="s">
        <v>18</v>
      </c>
      <c r="H105">
        <v>752</v>
      </c>
      <c r="I105" t="str">
        <f>TEXT(Table7[[#This Row],[Date]],"dddd")</f>
        <v>Wednesday</v>
      </c>
      <c r="J105" t="str">
        <f>IF(OR(Table7[[#This Row],[Day]]="Saturday",Table7[[#This Row],[Day]]="Sunday"),"Weekend","Weekday")</f>
        <v>Weekday</v>
      </c>
    </row>
    <row r="106" spans="1:10" x14ac:dyDescent="0.3">
      <c r="A106" s="1">
        <v>46162</v>
      </c>
      <c r="B106" t="s">
        <v>8</v>
      </c>
      <c r="C106" t="s">
        <v>26</v>
      </c>
      <c r="D106" t="s">
        <v>40</v>
      </c>
      <c r="E106" t="s">
        <v>41</v>
      </c>
      <c r="F106" t="s">
        <v>17</v>
      </c>
      <c r="G106" t="s">
        <v>18</v>
      </c>
      <c r="H106">
        <v>271</v>
      </c>
      <c r="I106" t="str">
        <f>TEXT(Table7[[#This Row],[Date]],"dddd")</f>
        <v>Wednesday</v>
      </c>
      <c r="J106" t="str">
        <f>IF(OR(Table7[[#This Row],[Day]]="Saturday",Table7[[#This Row],[Day]]="Sunday"),"Weekend","Weekday")</f>
        <v>Weekday</v>
      </c>
    </row>
    <row r="107" spans="1:10" x14ac:dyDescent="0.3">
      <c r="A107" s="1">
        <v>46163</v>
      </c>
      <c r="B107" t="s">
        <v>8</v>
      </c>
      <c r="C107" t="s">
        <v>26</v>
      </c>
      <c r="D107" t="s">
        <v>40</v>
      </c>
      <c r="E107" t="s">
        <v>41</v>
      </c>
      <c r="F107" t="s">
        <v>17</v>
      </c>
      <c r="G107" t="s">
        <v>25</v>
      </c>
      <c r="H107">
        <v>1138</v>
      </c>
      <c r="I107" t="str">
        <f>TEXT(Table7[[#This Row],[Date]],"dddd")</f>
        <v>Thursday</v>
      </c>
      <c r="J107" t="str">
        <f>IF(OR(Table7[[#This Row],[Day]]="Saturday",Table7[[#This Row],[Day]]="Sunday"),"Weekend","Weekday")</f>
        <v>Weekday</v>
      </c>
    </row>
    <row r="108" spans="1:10" x14ac:dyDescent="0.3">
      <c r="A108" s="1">
        <v>46163</v>
      </c>
      <c r="B108" t="s">
        <v>8</v>
      </c>
      <c r="C108" t="s">
        <v>19</v>
      </c>
      <c r="D108" t="s">
        <v>38</v>
      </c>
      <c r="E108" t="s">
        <v>39</v>
      </c>
      <c r="F108" t="s">
        <v>17</v>
      </c>
      <c r="G108" t="s">
        <v>18</v>
      </c>
      <c r="H108">
        <v>932</v>
      </c>
      <c r="I108" t="str">
        <f>TEXT(Table7[[#This Row],[Date]],"dddd")</f>
        <v>Thursday</v>
      </c>
      <c r="J108" t="str">
        <f>IF(OR(Table7[[#This Row],[Day]]="Saturday",Table7[[#This Row],[Day]]="Sunday"),"Weekend","Weekday")</f>
        <v>Weekday</v>
      </c>
    </row>
    <row r="109" spans="1:10" x14ac:dyDescent="0.3">
      <c r="A109" s="1">
        <v>46163</v>
      </c>
      <c r="B109" t="s">
        <v>8</v>
      </c>
      <c r="C109" t="s">
        <v>26</v>
      </c>
      <c r="D109" t="s">
        <v>40</v>
      </c>
      <c r="E109" t="s">
        <v>41</v>
      </c>
      <c r="F109" t="s">
        <v>17</v>
      </c>
      <c r="G109" t="s">
        <v>25</v>
      </c>
      <c r="H109">
        <v>413</v>
      </c>
      <c r="I109" t="str">
        <f>TEXT(Table7[[#This Row],[Date]],"dddd")</f>
        <v>Thursday</v>
      </c>
      <c r="J109" t="str">
        <f>IF(OR(Table7[[#This Row],[Day]]="Saturday",Table7[[#This Row],[Day]]="Sunday"),"Weekend","Weekday")</f>
        <v>Weekday</v>
      </c>
    </row>
    <row r="110" spans="1:10" x14ac:dyDescent="0.3">
      <c r="A110" s="1">
        <v>46163</v>
      </c>
      <c r="B110" t="s">
        <v>8</v>
      </c>
      <c r="C110" t="s">
        <v>35</v>
      </c>
      <c r="D110" t="s">
        <v>52</v>
      </c>
      <c r="E110" t="s">
        <v>53</v>
      </c>
      <c r="F110" t="s">
        <v>17</v>
      </c>
      <c r="G110" t="s">
        <v>29</v>
      </c>
      <c r="H110">
        <v>1041</v>
      </c>
      <c r="I110" t="str">
        <f>TEXT(Table7[[#This Row],[Date]],"dddd")</f>
        <v>Thursday</v>
      </c>
      <c r="J110" t="str">
        <f>IF(OR(Table7[[#This Row],[Day]]="Saturday",Table7[[#This Row],[Day]]="Sunday"),"Weekend","Weekday")</f>
        <v>Weekday</v>
      </c>
    </row>
    <row r="111" spans="1:10" x14ac:dyDescent="0.3">
      <c r="A111" s="1">
        <v>46163</v>
      </c>
      <c r="B111" t="s">
        <v>8</v>
      </c>
      <c r="C111" t="s">
        <v>26</v>
      </c>
      <c r="D111" t="s">
        <v>27</v>
      </c>
      <c r="E111" t="s">
        <v>28</v>
      </c>
      <c r="F111" t="s">
        <v>17</v>
      </c>
      <c r="G111" t="s">
        <v>29</v>
      </c>
      <c r="H111">
        <v>685</v>
      </c>
      <c r="I111" t="str">
        <f>TEXT(Table7[[#This Row],[Date]],"dddd")</f>
        <v>Thursday</v>
      </c>
      <c r="J111" t="str">
        <f>IF(OR(Table7[[#This Row],[Day]]="Saturday",Table7[[#This Row],[Day]]="Sunday"),"Weekend","Weekday")</f>
        <v>Weekday</v>
      </c>
    </row>
    <row r="112" spans="1:10" x14ac:dyDescent="0.3">
      <c r="A112" s="1">
        <v>46163</v>
      </c>
      <c r="B112" t="s">
        <v>8</v>
      </c>
      <c r="C112" t="s">
        <v>26</v>
      </c>
      <c r="D112" t="s">
        <v>46</v>
      </c>
      <c r="E112" t="s">
        <v>47</v>
      </c>
      <c r="F112" t="s">
        <v>17</v>
      </c>
      <c r="G112" t="s">
        <v>25</v>
      </c>
      <c r="H112">
        <v>466</v>
      </c>
      <c r="I112" t="str">
        <f>TEXT(Table7[[#This Row],[Date]],"dddd")</f>
        <v>Thursday</v>
      </c>
      <c r="J112" t="str">
        <f>IF(OR(Table7[[#This Row],[Day]]="Saturday",Table7[[#This Row],[Day]]="Sunday"),"Weekend","Weekday")</f>
        <v>Weekday</v>
      </c>
    </row>
    <row r="113" spans="1:10" x14ac:dyDescent="0.3">
      <c r="A113" s="1">
        <v>46164</v>
      </c>
      <c r="B113" t="s">
        <v>8</v>
      </c>
      <c r="C113" t="s">
        <v>19</v>
      </c>
      <c r="D113" t="s">
        <v>38</v>
      </c>
      <c r="E113" t="s">
        <v>39</v>
      </c>
      <c r="F113" t="s">
        <v>17</v>
      </c>
      <c r="G113" t="s">
        <v>25</v>
      </c>
      <c r="H113">
        <v>127</v>
      </c>
      <c r="I113" t="str">
        <f>TEXT(Table7[[#This Row],[Date]],"dddd")</f>
        <v>Friday</v>
      </c>
      <c r="J113" t="str">
        <f>IF(OR(Table7[[#This Row],[Day]]="Saturday",Table7[[#This Row],[Day]]="Sunday"),"Weekend","Weekday")</f>
        <v>Weekday</v>
      </c>
    </row>
    <row r="114" spans="1:10" x14ac:dyDescent="0.3">
      <c r="A114" s="1">
        <v>46164</v>
      </c>
      <c r="B114" t="s">
        <v>8</v>
      </c>
      <c r="C114" t="s">
        <v>35</v>
      </c>
      <c r="D114" t="s">
        <v>52</v>
      </c>
      <c r="E114" t="s">
        <v>53</v>
      </c>
      <c r="F114" t="s">
        <v>17</v>
      </c>
      <c r="G114" t="s">
        <v>25</v>
      </c>
      <c r="H114">
        <v>646</v>
      </c>
      <c r="I114" t="str">
        <f>TEXT(Table7[[#This Row],[Date]],"dddd")</f>
        <v>Friday</v>
      </c>
      <c r="J114" t="str">
        <f>IF(OR(Table7[[#This Row],[Day]]="Saturday",Table7[[#This Row],[Day]]="Sunday"),"Weekend","Weekday")</f>
        <v>Weekday</v>
      </c>
    </row>
    <row r="115" spans="1:10" x14ac:dyDescent="0.3">
      <c r="A115" s="1">
        <v>46164</v>
      </c>
      <c r="B115" t="s">
        <v>8</v>
      </c>
      <c r="C115" t="s">
        <v>14</v>
      </c>
      <c r="D115" t="s">
        <v>56</v>
      </c>
      <c r="E115" t="s">
        <v>57</v>
      </c>
      <c r="F115" t="s">
        <v>17</v>
      </c>
      <c r="G115" t="s">
        <v>29</v>
      </c>
      <c r="H115">
        <v>630</v>
      </c>
      <c r="I115" t="str">
        <f>TEXT(Table7[[#This Row],[Date]],"dddd")</f>
        <v>Friday</v>
      </c>
      <c r="J115" t="str">
        <f>IF(OR(Table7[[#This Row],[Day]]="Saturday",Table7[[#This Row],[Day]]="Sunday"),"Weekend","Weekday")</f>
        <v>Weekday</v>
      </c>
    </row>
    <row r="116" spans="1:10" x14ac:dyDescent="0.3">
      <c r="A116" s="1">
        <v>46164</v>
      </c>
      <c r="B116" t="s">
        <v>8</v>
      </c>
      <c r="C116" t="s">
        <v>26</v>
      </c>
      <c r="D116" t="s">
        <v>46</v>
      </c>
      <c r="E116" t="s">
        <v>47</v>
      </c>
      <c r="F116" t="s">
        <v>17</v>
      </c>
      <c r="G116" t="s">
        <v>18</v>
      </c>
      <c r="H116">
        <v>426</v>
      </c>
      <c r="I116" t="str">
        <f>TEXT(Table7[[#This Row],[Date]],"dddd")</f>
        <v>Friday</v>
      </c>
      <c r="J116" t="str">
        <f>IF(OR(Table7[[#This Row],[Day]]="Saturday",Table7[[#This Row],[Day]]="Sunday"),"Weekend","Weekday")</f>
        <v>Weekday</v>
      </c>
    </row>
    <row r="117" spans="1:10" x14ac:dyDescent="0.3">
      <c r="A117" s="1">
        <v>46164</v>
      </c>
      <c r="B117" t="s">
        <v>8</v>
      </c>
      <c r="C117" t="s">
        <v>26</v>
      </c>
      <c r="D117" t="s">
        <v>54</v>
      </c>
      <c r="E117" t="s">
        <v>55</v>
      </c>
      <c r="F117" t="s">
        <v>17</v>
      </c>
      <c r="G117" t="s">
        <v>18</v>
      </c>
      <c r="H117">
        <v>566</v>
      </c>
      <c r="I117" t="str">
        <f>TEXT(Table7[[#This Row],[Date]],"dddd")</f>
        <v>Friday</v>
      </c>
      <c r="J117" t="str">
        <f>IF(OR(Table7[[#This Row],[Day]]="Saturday",Table7[[#This Row],[Day]]="Sunday"),"Weekend","Weekday")</f>
        <v>Weekday</v>
      </c>
    </row>
    <row r="118" spans="1:10" x14ac:dyDescent="0.3">
      <c r="A118" s="1">
        <v>46164</v>
      </c>
      <c r="B118" t="s">
        <v>8</v>
      </c>
      <c r="C118" t="s">
        <v>19</v>
      </c>
      <c r="D118" t="s">
        <v>44</v>
      </c>
      <c r="E118" t="s">
        <v>45</v>
      </c>
      <c r="F118" t="s">
        <v>17</v>
      </c>
      <c r="G118" t="s">
        <v>18</v>
      </c>
      <c r="H118">
        <v>1221</v>
      </c>
      <c r="I118" t="str">
        <f>TEXT(Table7[[#This Row],[Date]],"dddd")</f>
        <v>Friday</v>
      </c>
      <c r="J118" t="str">
        <f>IF(OR(Table7[[#This Row],[Day]]="Saturday",Table7[[#This Row],[Day]]="Sunday"),"Weekend","Weekday")</f>
        <v>Weekday</v>
      </c>
    </row>
    <row r="119" spans="1:10" x14ac:dyDescent="0.3">
      <c r="A119" s="1">
        <v>46165</v>
      </c>
      <c r="B119" t="s">
        <v>8</v>
      </c>
      <c r="C119" t="s">
        <v>14</v>
      </c>
      <c r="D119" t="s">
        <v>30</v>
      </c>
      <c r="E119" t="s">
        <v>31</v>
      </c>
      <c r="F119" t="s">
        <v>17</v>
      </c>
      <c r="G119" t="s">
        <v>25</v>
      </c>
      <c r="H119">
        <v>1225</v>
      </c>
      <c r="I119" t="str">
        <f>TEXT(Table7[[#This Row],[Date]],"dddd")</f>
        <v>Saturday</v>
      </c>
      <c r="J119" t="str">
        <f>IF(OR(Table7[[#This Row],[Day]]="Saturday",Table7[[#This Row],[Day]]="Sunday"),"Weekend","Weekday")</f>
        <v>Weekend</v>
      </c>
    </row>
    <row r="120" spans="1:10" x14ac:dyDescent="0.3">
      <c r="A120" s="1">
        <v>46165</v>
      </c>
      <c r="B120" t="s">
        <v>8</v>
      </c>
      <c r="C120" t="s">
        <v>26</v>
      </c>
      <c r="D120" t="s">
        <v>40</v>
      </c>
      <c r="E120" t="s">
        <v>41</v>
      </c>
      <c r="F120" t="s">
        <v>17</v>
      </c>
      <c r="G120" t="s">
        <v>29</v>
      </c>
      <c r="H120">
        <v>1061</v>
      </c>
      <c r="I120" t="str">
        <f>TEXT(Table7[[#This Row],[Date]],"dddd")</f>
        <v>Saturday</v>
      </c>
      <c r="J120" t="str">
        <f>IF(OR(Table7[[#This Row],[Day]]="Saturday",Table7[[#This Row],[Day]]="Sunday"),"Weekend","Weekday")</f>
        <v>Weekend</v>
      </c>
    </row>
    <row r="121" spans="1:10" x14ac:dyDescent="0.3">
      <c r="A121" s="1">
        <v>46165</v>
      </c>
      <c r="B121" t="s">
        <v>8</v>
      </c>
      <c r="C121" t="s">
        <v>22</v>
      </c>
      <c r="D121" t="s">
        <v>23</v>
      </c>
      <c r="E121" t="s">
        <v>24</v>
      </c>
      <c r="F121" t="s">
        <v>17</v>
      </c>
      <c r="G121" t="s">
        <v>29</v>
      </c>
      <c r="H121">
        <v>961</v>
      </c>
      <c r="I121" t="str">
        <f>TEXT(Table7[[#This Row],[Date]],"dddd")</f>
        <v>Saturday</v>
      </c>
      <c r="J121" t="str">
        <f>IF(OR(Table7[[#This Row],[Day]]="Saturday",Table7[[#This Row],[Day]]="Sunday"),"Weekend","Weekday")</f>
        <v>Weekend</v>
      </c>
    </row>
    <row r="122" spans="1:10" x14ac:dyDescent="0.3">
      <c r="A122" s="1">
        <v>46166</v>
      </c>
      <c r="B122" t="s">
        <v>8</v>
      </c>
      <c r="C122" t="s">
        <v>26</v>
      </c>
      <c r="D122" t="s">
        <v>27</v>
      </c>
      <c r="E122" t="s">
        <v>28</v>
      </c>
      <c r="F122" t="s">
        <v>17</v>
      </c>
      <c r="G122" t="s">
        <v>18</v>
      </c>
      <c r="H122">
        <v>981</v>
      </c>
      <c r="I122" t="str">
        <f>TEXT(Table7[[#This Row],[Date]],"dddd")</f>
        <v>Sunday</v>
      </c>
      <c r="J122" t="str">
        <f>IF(OR(Table7[[#This Row],[Day]]="Saturday",Table7[[#This Row],[Day]]="Sunday"),"Weekend","Weekday")</f>
        <v>Weekend</v>
      </c>
    </row>
    <row r="123" spans="1:10" x14ac:dyDescent="0.3">
      <c r="A123" s="1">
        <v>46166</v>
      </c>
      <c r="B123" t="s">
        <v>8</v>
      </c>
      <c r="C123" t="s">
        <v>22</v>
      </c>
      <c r="D123" t="s">
        <v>23</v>
      </c>
      <c r="E123" t="s">
        <v>24</v>
      </c>
      <c r="F123" t="s">
        <v>17</v>
      </c>
      <c r="G123" t="s">
        <v>18</v>
      </c>
      <c r="H123">
        <v>615</v>
      </c>
      <c r="I123" t="str">
        <f>TEXT(Table7[[#This Row],[Date]],"dddd")</f>
        <v>Sunday</v>
      </c>
      <c r="J123" t="str">
        <f>IF(OR(Table7[[#This Row],[Day]]="Saturday",Table7[[#This Row],[Day]]="Sunday"),"Weekend","Weekday")</f>
        <v>Weekend</v>
      </c>
    </row>
    <row r="124" spans="1:10" x14ac:dyDescent="0.3">
      <c r="A124" s="1">
        <v>46166</v>
      </c>
      <c r="B124" t="s">
        <v>8</v>
      </c>
      <c r="C124" t="s">
        <v>14</v>
      </c>
      <c r="D124" t="s">
        <v>42</v>
      </c>
      <c r="E124" t="s">
        <v>43</v>
      </c>
      <c r="F124" t="s">
        <v>17</v>
      </c>
      <c r="G124" t="s">
        <v>29</v>
      </c>
      <c r="H124">
        <v>1294</v>
      </c>
      <c r="I124" t="str">
        <f>TEXT(Table7[[#This Row],[Date]],"dddd")</f>
        <v>Sunday</v>
      </c>
      <c r="J124" t="str">
        <f>IF(OR(Table7[[#This Row],[Day]]="Saturday",Table7[[#This Row],[Day]]="Sunday"),"Weekend","Weekday")</f>
        <v>Weekend</v>
      </c>
    </row>
    <row r="125" spans="1:10" x14ac:dyDescent="0.3">
      <c r="A125" s="1">
        <v>46166</v>
      </c>
      <c r="B125" t="s">
        <v>8</v>
      </c>
      <c r="C125" t="s">
        <v>14</v>
      </c>
      <c r="D125" t="s">
        <v>30</v>
      </c>
      <c r="E125" t="s">
        <v>31</v>
      </c>
      <c r="F125" t="s">
        <v>17</v>
      </c>
      <c r="G125" t="s">
        <v>18</v>
      </c>
      <c r="H125">
        <v>891</v>
      </c>
      <c r="I125" t="str">
        <f>TEXT(Table7[[#This Row],[Date]],"dddd")</f>
        <v>Sunday</v>
      </c>
      <c r="J125" t="str">
        <f>IF(OR(Table7[[#This Row],[Day]]="Saturday",Table7[[#This Row],[Day]]="Sunday"),"Weekend","Weekday")</f>
        <v>Weekend</v>
      </c>
    </row>
    <row r="126" spans="1:10" x14ac:dyDescent="0.3">
      <c r="A126" s="1">
        <v>46166</v>
      </c>
      <c r="B126" t="s">
        <v>8</v>
      </c>
      <c r="C126" t="s">
        <v>35</v>
      </c>
      <c r="D126" t="s">
        <v>48</v>
      </c>
      <c r="E126" t="s">
        <v>49</v>
      </c>
      <c r="F126" t="s">
        <v>17</v>
      </c>
      <c r="G126" t="s">
        <v>29</v>
      </c>
      <c r="H126">
        <v>1458</v>
      </c>
      <c r="I126" t="str">
        <f>TEXT(Table7[[#This Row],[Date]],"dddd")</f>
        <v>Sunday</v>
      </c>
      <c r="J126" t="str">
        <f>IF(OR(Table7[[#This Row],[Day]]="Saturday",Table7[[#This Row],[Day]]="Sunday"),"Weekend","Weekday")</f>
        <v>Weekend</v>
      </c>
    </row>
    <row r="127" spans="1:10" x14ac:dyDescent="0.3">
      <c r="A127" s="1">
        <v>46167</v>
      </c>
      <c r="B127" t="s">
        <v>8</v>
      </c>
      <c r="C127" t="s">
        <v>14</v>
      </c>
      <c r="D127" t="s">
        <v>30</v>
      </c>
      <c r="E127" t="s">
        <v>31</v>
      </c>
      <c r="F127" t="s">
        <v>17</v>
      </c>
      <c r="G127" t="s">
        <v>18</v>
      </c>
      <c r="H127">
        <v>912</v>
      </c>
      <c r="I127" t="str">
        <f>TEXT(Table7[[#This Row],[Date]],"dddd")</f>
        <v>Monday</v>
      </c>
      <c r="J127" t="str">
        <f>IF(OR(Table7[[#This Row],[Day]]="Saturday",Table7[[#This Row],[Day]]="Sunday"),"Weekend","Weekday")</f>
        <v>Weekday</v>
      </c>
    </row>
    <row r="128" spans="1:10" x14ac:dyDescent="0.3">
      <c r="A128" s="1">
        <v>46167</v>
      </c>
      <c r="B128" t="s">
        <v>8</v>
      </c>
      <c r="C128" t="s">
        <v>14</v>
      </c>
      <c r="D128" t="s">
        <v>30</v>
      </c>
      <c r="E128" t="s">
        <v>31</v>
      </c>
      <c r="F128" t="s">
        <v>17</v>
      </c>
      <c r="G128" t="s">
        <v>29</v>
      </c>
      <c r="H128">
        <v>1203</v>
      </c>
      <c r="I128" t="str">
        <f>TEXT(Table7[[#This Row],[Date]],"dddd")</f>
        <v>Monday</v>
      </c>
      <c r="J128" t="str">
        <f>IF(OR(Table7[[#This Row],[Day]]="Saturday",Table7[[#This Row],[Day]]="Sunday"),"Weekend","Weekday")</f>
        <v>Weekday</v>
      </c>
    </row>
    <row r="129" spans="1:10" x14ac:dyDescent="0.3">
      <c r="A129" s="1">
        <v>46167</v>
      </c>
      <c r="B129" t="s">
        <v>8</v>
      </c>
      <c r="C129" t="s">
        <v>26</v>
      </c>
      <c r="D129" t="s">
        <v>27</v>
      </c>
      <c r="E129" t="s">
        <v>28</v>
      </c>
      <c r="F129" t="s">
        <v>17</v>
      </c>
      <c r="G129" t="s">
        <v>29</v>
      </c>
      <c r="H129">
        <v>958</v>
      </c>
      <c r="I129" t="str">
        <f>TEXT(Table7[[#This Row],[Date]],"dddd")</f>
        <v>Monday</v>
      </c>
      <c r="J129" t="str">
        <f>IF(OR(Table7[[#This Row],[Day]]="Saturday",Table7[[#This Row],[Day]]="Sunday"),"Weekend","Weekday")</f>
        <v>Weekday</v>
      </c>
    </row>
    <row r="130" spans="1:10" x14ac:dyDescent="0.3">
      <c r="A130" s="1">
        <v>46167</v>
      </c>
      <c r="B130" t="s">
        <v>8</v>
      </c>
      <c r="C130" t="s">
        <v>35</v>
      </c>
      <c r="D130" t="s">
        <v>48</v>
      </c>
      <c r="E130" t="s">
        <v>49</v>
      </c>
      <c r="F130" t="s">
        <v>17</v>
      </c>
      <c r="G130" t="s">
        <v>29</v>
      </c>
      <c r="H130">
        <v>595</v>
      </c>
      <c r="I130" t="str">
        <f>TEXT(Table7[[#This Row],[Date]],"dddd")</f>
        <v>Monday</v>
      </c>
      <c r="J130" t="str">
        <f>IF(OR(Table7[[#This Row],[Day]]="Saturday",Table7[[#This Row],[Day]]="Sunday"),"Weekend","Weekday")</f>
        <v>Weekday</v>
      </c>
    </row>
    <row r="131" spans="1:10" x14ac:dyDescent="0.3">
      <c r="A131" s="1">
        <v>46167</v>
      </c>
      <c r="B131" t="s">
        <v>8</v>
      </c>
      <c r="C131" t="s">
        <v>35</v>
      </c>
      <c r="D131" t="s">
        <v>52</v>
      </c>
      <c r="E131" t="s">
        <v>53</v>
      </c>
      <c r="F131" t="s">
        <v>17</v>
      </c>
      <c r="G131" t="s">
        <v>25</v>
      </c>
      <c r="H131">
        <v>100</v>
      </c>
      <c r="I131" t="str">
        <f>TEXT(Table7[[#This Row],[Date]],"dddd")</f>
        <v>Monday</v>
      </c>
      <c r="J131" t="str">
        <f>IF(OR(Table7[[#This Row],[Day]]="Saturday",Table7[[#This Row],[Day]]="Sunday"),"Weekend","Weekday")</f>
        <v>Weekday</v>
      </c>
    </row>
    <row r="132" spans="1:10" x14ac:dyDescent="0.3">
      <c r="A132" s="1">
        <v>46168</v>
      </c>
      <c r="B132" t="s">
        <v>8</v>
      </c>
      <c r="C132" t="s">
        <v>26</v>
      </c>
      <c r="D132" t="s">
        <v>27</v>
      </c>
      <c r="E132" t="s">
        <v>28</v>
      </c>
      <c r="F132" t="s">
        <v>17</v>
      </c>
      <c r="G132" t="s">
        <v>25</v>
      </c>
      <c r="H132">
        <v>877</v>
      </c>
      <c r="I132" t="str">
        <f>TEXT(Table7[[#This Row],[Date]],"dddd")</f>
        <v>Tuesday</v>
      </c>
      <c r="J132" t="str">
        <f>IF(OR(Table7[[#This Row],[Day]]="Saturday",Table7[[#This Row],[Day]]="Sunday"),"Weekend","Weekday")</f>
        <v>Weekday</v>
      </c>
    </row>
    <row r="133" spans="1:10" x14ac:dyDescent="0.3">
      <c r="A133" s="1">
        <v>46168</v>
      </c>
      <c r="B133" t="s">
        <v>8</v>
      </c>
      <c r="C133" t="s">
        <v>35</v>
      </c>
      <c r="D133" t="s">
        <v>36</v>
      </c>
      <c r="E133" t="s">
        <v>37</v>
      </c>
      <c r="F133" t="s">
        <v>17</v>
      </c>
      <c r="G133" t="s">
        <v>18</v>
      </c>
      <c r="H133">
        <v>1307</v>
      </c>
      <c r="I133" t="str">
        <f>TEXT(Table7[[#This Row],[Date]],"dddd")</f>
        <v>Tuesday</v>
      </c>
      <c r="J133" t="str">
        <f>IF(OR(Table7[[#This Row],[Day]]="Saturday",Table7[[#This Row],[Day]]="Sunday"),"Weekend","Weekday")</f>
        <v>Weekday</v>
      </c>
    </row>
    <row r="134" spans="1:10" x14ac:dyDescent="0.3">
      <c r="A134" s="1">
        <v>46168</v>
      </c>
      <c r="B134" t="s">
        <v>8</v>
      </c>
      <c r="C134" t="s">
        <v>26</v>
      </c>
      <c r="D134" t="s">
        <v>46</v>
      </c>
      <c r="E134" t="s">
        <v>47</v>
      </c>
      <c r="F134" t="s">
        <v>17</v>
      </c>
      <c r="G134" t="s">
        <v>29</v>
      </c>
      <c r="H134">
        <v>1302</v>
      </c>
      <c r="I134" t="str">
        <f>TEXT(Table7[[#This Row],[Date]],"dddd")</f>
        <v>Tuesday</v>
      </c>
      <c r="J134" t="str">
        <f>IF(OR(Table7[[#This Row],[Day]]="Saturday",Table7[[#This Row],[Day]]="Sunday"),"Weekend","Weekday")</f>
        <v>Weekday</v>
      </c>
    </row>
    <row r="135" spans="1:10" x14ac:dyDescent="0.3">
      <c r="A135" s="1">
        <v>46168</v>
      </c>
      <c r="B135" t="s">
        <v>8</v>
      </c>
      <c r="C135" t="s">
        <v>26</v>
      </c>
      <c r="D135" t="s">
        <v>27</v>
      </c>
      <c r="E135" t="s">
        <v>28</v>
      </c>
      <c r="F135" t="s">
        <v>17</v>
      </c>
      <c r="G135" t="s">
        <v>25</v>
      </c>
      <c r="H135">
        <v>1237</v>
      </c>
      <c r="I135" t="str">
        <f>TEXT(Table7[[#This Row],[Date]],"dddd")</f>
        <v>Tuesday</v>
      </c>
      <c r="J135" t="str">
        <f>IF(OR(Table7[[#This Row],[Day]]="Saturday",Table7[[#This Row],[Day]]="Sunday"),"Weekend","Weekday")</f>
        <v>Weekday</v>
      </c>
    </row>
    <row r="136" spans="1:10" x14ac:dyDescent="0.3">
      <c r="A136" s="1">
        <v>46168</v>
      </c>
      <c r="B136" t="s">
        <v>8</v>
      </c>
      <c r="C136" t="s">
        <v>35</v>
      </c>
      <c r="D136" t="s">
        <v>48</v>
      </c>
      <c r="E136" t="s">
        <v>49</v>
      </c>
      <c r="F136" t="s">
        <v>17</v>
      </c>
      <c r="G136" t="s">
        <v>18</v>
      </c>
      <c r="H136">
        <v>562</v>
      </c>
      <c r="I136" t="str">
        <f>TEXT(Table7[[#This Row],[Date]],"dddd")</f>
        <v>Tuesday</v>
      </c>
      <c r="J136" t="str">
        <f>IF(OR(Table7[[#This Row],[Day]]="Saturday",Table7[[#This Row],[Day]]="Sunday"),"Weekend","Weekday")</f>
        <v>Weekday</v>
      </c>
    </row>
    <row r="137" spans="1:10" x14ac:dyDescent="0.3">
      <c r="A137" s="1">
        <v>46169</v>
      </c>
      <c r="B137" t="s">
        <v>8</v>
      </c>
      <c r="C137" t="s">
        <v>35</v>
      </c>
      <c r="D137" t="s">
        <v>48</v>
      </c>
      <c r="E137" t="s">
        <v>49</v>
      </c>
      <c r="F137" t="s">
        <v>17</v>
      </c>
      <c r="G137" t="s">
        <v>18</v>
      </c>
      <c r="H137">
        <v>529</v>
      </c>
      <c r="I137" t="str">
        <f>TEXT(Table7[[#This Row],[Date]],"dddd")</f>
        <v>Wednesday</v>
      </c>
      <c r="J137" t="str">
        <f>IF(OR(Table7[[#This Row],[Day]]="Saturday",Table7[[#This Row],[Day]]="Sunday"),"Weekend","Weekday")</f>
        <v>Weekday</v>
      </c>
    </row>
    <row r="138" spans="1:10" x14ac:dyDescent="0.3">
      <c r="A138" s="1">
        <v>46169</v>
      </c>
      <c r="B138" t="s">
        <v>8</v>
      </c>
      <c r="C138" t="s">
        <v>14</v>
      </c>
      <c r="D138" t="s">
        <v>30</v>
      </c>
      <c r="E138" t="s">
        <v>31</v>
      </c>
      <c r="F138" t="s">
        <v>17</v>
      </c>
      <c r="G138" t="s">
        <v>25</v>
      </c>
      <c r="H138">
        <v>1221</v>
      </c>
      <c r="I138" t="str">
        <f>TEXT(Table7[[#This Row],[Date]],"dddd")</f>
        <v>Wednesday</v>
      </c>
      <c r="J138" t="str">
        <f>IF(OR(Table7[[#This Row],[Day]]="Saturday",Table7[[#This Row],[Day]]="Sunday"),"Weekend","Weekday")</f>
        <v>Weekday</v>
      </c>
    </row>
    <row r="139" spans="1:10" x14ac:dyDescent="0.3">
      <c r="A139" s="1">
        <v>46169</v>
      </c>
      <c r="B139" t="s">
        <v>8</v>
      </c>
      <c r="C139" t="s">
        <v>26</v>
      </c>
      <c r="D139" t="s">
        <v>46</v>
      </c>
      <c r="E139" t="s">
        <v>47</v>
      </c>
      <c r="F139" t="s">
        <v>17</v>
      </c>
      <c r="G139" t="s">
        <v>25</v>
      </c>
      <c r="H139">
        <v>848</v>
      </c>
      <c r="I139" t="str">
        <f>TEXT(Table7[[#This Row],[Date]],"dddd")</f>
        <v>Wednesday</v>
      </c>
      <c r="J139" t="str">
        <f>IF(OR(Table7[[#This Row],[Day]]="Saturday",Table7[[#This Row],[Day]]="Sunday"),"Weekend","Weekday")</f>
        <v>Weekday</v>
      </c>
    </row>
    <row r="140" spans="1:10" x14ac:dyDescent="0.3">
      <c r="A140" s="1">
        <v>46170</v>
      </c>
      <c r="B140" t="s">
        <v>8</v>
      </c>
      <c r="C140" t="s">
        <v>19</v>
      </c>
      <c r="D140" t="s">
        <v>38</v>
      </c>
      <c r="E140" t="s">
        <v>39</v>
      </c>
      <c r="F140" t="s">
        <v>17</v>
      </c>
      <c r="G140" t="s">
        <v>29</v>
      </c>
      <c r="H140">
        <v>629</v>
      </c>
      <c r="I140" t="str">
        <f>TEXT(Table7[[#This Row],[Date]],"dddd")</f>
        <v>Thursday</v>
      </c>
      <c r="J140" t="str">
        <f>IF(OR(Table7[[#This Row],[Day]]="Saturday",Table7[[#This Row],[Day]]="Sunday"),"Weekend","Weekday")</f>
        <v>Weekday</v>
      </c>
    </row>
    <row r="141" spans="1:10" x14ac:dyDescent="0.3">
      <c r="A141" s="1">
        <v>46170</v>
      </c>
      <c r="B141" t="s">
        <v>8</v>
      </c>
      <c r="C141" t="s">
        <v>35</v>
      </c>
      <c r="D141" t="s">
        <v>48</v>
      </c>
      <c r="E141" t="s">
        <v>49</v>
      </c>
      <c r="F141" t="s">
        <v>17</v>
      </c>
      <c r="G141" t="s">
        <v>25</v>
      </c>
      <c r="H141">
        <v>247</v>
      </c>
      <c r="I141" t="str">
        <f>TEXT(Table7[[#This Row],[Date]],"dddd")</f>
        <v>Thursday</v>
      </c>
      <c r="J141" t="str">
        <f>IF(OR(Table7[[#This Row],[Day]]="Saturday",Table7[[#This Row],[Day]]="Sunday"),"Weekend","Weekday")</f>
        <v>Weekday</v>
      </c>
    </row>
    <row r="142" spans="1:10" x14ac:dyDescent="0.3">
      <c r="A142" s="1">
        <v>46170</v>
      </c>
      <c r="B142" t="s">
        <v>8</v>
      </c>
      <c r="C142" t="s">
        <v>26</v>
      </c>
      <c r="D142" t="s">
        <v>27</v>
      </c>
      <c r="E142" t="s">
        <v>28</v>
      </c>
      <c r="F142" t="s">
        <v>17</v>
      </c>
      <c r="G142" t="s">
        <v>29</v>
      </c>
      <c r="H142">
        <v>763</v>
      </c>
      <c r="I142" t="str">
        <f>TEXT(Table7[[#This Row],[Date]],"dddd")</f>
        <v>Thursday</v>
      </c>
      <c r="J142" t="str">
        <f>IF(OR(Table7[[#This Row],[Day]]="Saturday",Table7[[#This Row],[Day]]="Sunday"),"Weekend","Weekday")</f>
        <v>Weekday</v>
      </c>
    </row>
    <row r="143" spans="1:10" x14ac:dyDescent="0.3">
      <c r="A143" s="1">
        <v>46170</v>
      </c>
      <c r="B143" t="s">
        <v>8</v>
      </c>
      <c r="C143" t="s">
        <v>35</v>
      </c>
      <c r="D143" t="s">
        <v>52</v>
      </c>
      <c r="E143" t="s">
        <v>53</v>
      </c>
      <c r="F143" t="s">
        <v>17</v>
      </c>
      <c r="G143" t="s">
        <v>29</v>
      </c>
      <c r="H143">
        <v>482</v>
      </c>
      <c r="I143" t="str">
        <f>TEXT(Table7[[#This Row],[Date]],"dddd")</f>
        <v>Thursday</v>
      </c>
      <c r="J143" t="str">
        <f>IF(OR(Table7[[#This Row],[Day]]="Saturday",Table7[[#This Row],[Day]]="Sunday"),"Weekend","Weekday")</f>
        <v>Weekday</v>
      </c>
    </row>
    <row r="144" spans="1:10" x14ac:dyDescent="0.3">
      <c r="A144" s="1">
        <v>46170</v>
      </c>
      <c r="B144" t="s">
        <v>8</v>
      </c>
      <c r="C144" t="s">
        <v>19</v>
      </c>
      <c r="D144" t="s">
        <v>20</v>
      </c>
      <c r="E144" t="s">
        <v>21</v>
      </c>
      <c r="F144" t="s">
        <v>17</v>
      </c>
      <c r="G144" t="s">
        <v>25</v>
      </c>
      <c r="H144">
        <v>1153</v>
      </c>
      <c r="I144" t="str">
        <f>TEXT(Table7[[#This Row],[Date]],"dddd")</f>
        <v>Thursday</v>
      </c>
      <c r="J144" t="str">
        <f>IF(OR(Table7[[#This Row],[Day]]="Saturday",Table7[[#This Row],[Day]]="Sunday"),"Weekend","Weekday")</f>
        <v>Weekday</v>
      </c>
    </row>
    <row r="145" spans="1:10" x14ac:dyDescent="0.3">
      <c r="A145" s="1">
        <v>46171</v>
      </c>
      <c r="B145" t="s">
        <v>8</v>
      </c>
      <c r="C145" t="s">
        <v>22</v>
      </c>
      <c r="D145" t="s">
        <v>50</v>
      </c>
      <c r="E145" t="s">
        <v>51</v>
      </c>
      <c r="F145" t="s">
        <v>17</v>
      </c>
      <c r="G145" t="s">
        <v>25</v>
      </c>
      <c r="H145">
        <v>1135</v>
      </c>
      <c r="I145" t="str">
        <f>TEXT(Table7[[#This Row],[Date]],"dddd")</f>
        <v>Friday</v>
      </c>
      <c r="J145" t="str">
        <f>IF(OR(Table7[[#This Row],[Day]]="Saturday",Table7[[#This Row],[Day]]="Sunday"),"Weekend","Weekday")</f>
        <v>Weekday</v>
      </c>
    </row>
    <row r="146" spans="1:10" x14ac:dyDescent="0.3">
      <c r="A146" s="1">
        <v>46171</v>
      </c>
      <c r="B146" t="s">
        <v>8</v>
      </c>
      <c r="C146" t="s">
        <v>14</v>
      </c>
      <c r="D146" t="s">
        <v>15</v>
      </c>
      <c r="E146" t="s">
        <v>16</v>
      </c>
      <c r="F146" t="s">
        <v>17</v>
      </c>
      <c r="G146" t="s">
        <v>29</v>
      </c>
      <c r="H146">
        <v>1414</v>
      </c>
      <c r="I146" t="str">
        <f>TEXT(Table7[[#This Row],[Date]],"dddd")</f>
        <v>Friday</v>
      </c>
      <c r="J146" t="str">
        <f>IF(OR(Table7[[#This Row],[Day]]="Saturday",Table7[[#This Row],[Day]]="Sunday"),"Weekend","Weekday")</f>
        <v>Weekday</v>
      </c>
    </row>
    <row r="147" spans="1:10" x14ac:dyDescent="0.3">
      <c r="A147" s="1">
        <v>46171</v>
      </c>
      <c r="B147" t="s">
        <v>8</v>
      </c>
      <c r="C147" t="s">
        <v>14</v>
      </c>
      <c r="D147" t="s">
        <v>15</v>
      </c>
      <c r="E147" t="s">
        <v>16</v>
      </c>
      <c r="F147" t="s">
        <v>17</v>
      </c>
      <c r="G147" t="s">
        <v>29</v>
      </c>
      <c r="H147">
        <v>642</v>
      </c>
      <c r="I147" t="str">
        <f>TEXT(Table7[[#This Row],[Date]],"dddd")</f>
        <v>Friday</v>
      </c>
      <c r="J147" t="str">
        <f>IF(OR(Table7[[#This Row],[Day]]="Saturday",Table7[[#This Row],[Day]]="Sunday"),"Weekend","Weekday")</f>
        <v>Weekday</v>
      </c>
    </row>
    <row r="148" spans="1:10" x14ac:dyDescent="0.3">
      <c r="A148" s="1">
        <v>46171</v>
      </c>
      <c r="B148" t="s">
        <v>8</v>
      </c>
      <c r="C148" t="s">
        <v>14</v>
      </c>
      <c r="D148" t="s">
        <v>42</v>
      </c>
      <c r="E148" t="s">
        <v>43</v>
      </c>
      <c r="F148" t="s">
        <v>17</v>
      </c>
      <c r="G148" t="s">
        <v>18</v>
      </c>
      <c r="H148">
        <v>1118</v>
      </c>
      <c r="I148" t="str">
        <f>TEXT(Table7[[#This Row],[Date]],"dddd")</f>
        <v>Friday</v>
      </c>
      <c r="J148" t="str">
        <f>IF(OR(Table7[[#This Row],[Day]]="Saturday",Table7[[#This Row],[Day]]="Sunday"),"Weekend","Weekday")</f>
        <v>Weekday</v>
      </c>
    </row>
    <row r="149" spans="1:10" x14ac:dyDescent="0.3">
      <c r="A149" s="1">
        <v>46171</v>
      </c>
      <c r="B149" t="s">
        <v>8</v>
      </c>
      <c r="C149" t="s">
        <v>19</v>
      </c>
      <c r="D149" t="s">
        <v>44</v>
      </c>
      <c r="E149" t="s">
        <v>45</v>
      </c>
      <c r="F149" t="s">
        <v>17</v>
      </c>
      <c r="G149" t="s">
        <v>29</v>
      </c>
      <c r="H149">
        <v>702</v>
      </c>
      <c r="I149" t="str">
        <f>TEXT(Table7[[#This Row],[Date]],"dddd")</f>
        <v>Friday</v>
      </c>
      <c r="J149" t="str">
        <f>IF(OR(Table7[[#This Row],[Day]]="Saturday",Table7[[#This Row],[Day]]="Sunday"),"Weekend","Weekday")</f>
        <v>Weekday</v>
      </c>
    </row>
    <row r="150" spans="1:10" x14ac:dyDescent="0.3">
      <c r="A150" s="1">
        <v>46171</v>
      </c>
      <c r="B150" t="s">
        <v>8</v>
      </c>
      <c r="C150" t="s">
        <v>35</v>
      </c>
      <c r="D150" t="s">
        <v>48</v>
      </c>
      <c r="E150" t="s">
        <v>49</v>
      </c>
      <c r="F150" t="s">
        <v>17</v>
      </c>
      <c r="G150" t="s">
        <v>29</v>
      </c>
      <c r="H150">
        <v>960</v>
      </c>
      <c r="I150" t="str">
        <f>TEXT(Table7[[#This Row],[Date]],"dddd")</f>
        <v>Friday</v>
      </c>
      <c r="J150" t="str">
        <f>IF(OR(Table7[[#This Row],[Day]]="Saturday",Table7[[#This Row],[Day]]="Sunday"),"Weekend","Weekday")</f>
        <v>Weekday</v>
      </c>
    </row>
    <row r="151" spans="1:10" x14ac:dyDescent="0.3">
      <c r="A151" s="1">
        <v>46171</v>
      </c>
      <c r="B151" t="s">
        <v>8</v>
      </c>
      <c r="C151" t="s">
        <v>22</v>
      </c>
      <c r="D151" t="s">
        <v>23</v>
      </c>
      <c r="E151" t="s">
        <v>24</v>
      </c>
      <c r="F151" t="s">
        <v>17</v>
      </c>
      <c r="G151" t="s">
        <v>25</v>
      </c>
      <c r="H151">
        <v>841</v>
      </c>
      <c r="I151" t="str">
        <f>TEXT(Table7[[#This Row],[Date]],"dddd")</f>
        <v>Friday</v>
      </c>
      <c r="J151" t="str">
        <f>IF(OR(Table7[[#This Row],[Day]]="Saturday",Table7[[#This Row],[Day]]="Sunday"),"Weekend","Weekday")</f>
        <v>Weekday</v>
      </c>
    </row>
    <row r="152" spans="1:10" x14ac:dyDescent="0.3">
      <c r="A152" s="1">
        <v>46172</v>
      </c>
      <c r="B152" t="s">
        <v>8</v>
      </c>
      <c r="C152" t="s">
        <v>35</v>
      </c>
      <c r="D152" t="s">
        <v>48</v>
      </c>
      <c r="E152" t="s">
        <v>49</v>
      </c>
      <c r="F152" t="s">
        <v>17</v>
      </c>
      <c r="G152" t="s">
        <v>25</v>
      </c>
      <c r="H152">
        <v>1208</v>
      </c>
      <c r="I152" t="str">
        <f>TEXT(Table7[[#This Row],[Date]],"dddd")</f>
        <v>Saturday</v>
      </c>
      <c r="J152" t="str">
        <f>IF(OR(Table7[[#This Row],[Day]]="Saturday",Table7[[#This Row],[Day]]="Sunday"),"Weekend","Weekday")</f>
        <v>Weekend</v>
      </c>
    </row>
    <row r="153" spans="1:10" x14ac:dyDescent="0.3">
      <c r="A153" s="1">
        <v>46172</v>
      </c>
      <c r="B153" t="s">
        <v>8</v>
      </c>
      <c r="C153" t="s">
        <v>14</v>
      </c>
      <c r="D153" t="s">
        <v>56</v>
      </c>
      <c r="E153" t="s">
        <v>57</v>
      </c>
      <c r="F153" t="s">
        <v>17</v>
      </c>
      <c r="G153" t="s">
        <v>25</v>
      </c>
      <c r="H153">
        <v>644</v>
      </c>
      <c r="I153" t="str">
        <f>TEXT(Table7[[#This Row],[Date]],"dddd")</f>
        <v>Saturday</v>
      </c>
      <c r="J153" t="str">
        <f>IF(OR(Table7[[#This Row],[Day]]="Saturday",Table7[[#This Row],[Day]]="Sunday"),"Weekend","Weekday")</f>
        <v>Weekend</v>
      </c>
    </row>
    <row r="154" spans="1:10" x14ac:dyDescent="0.3">
      <c r="A154" s="1">
        <v>46172</v>
      </c>
      <c r="B154" t="s">
        <v>8</v>
      </c>
      <c r="C154" t="s">
        <v>19</v>
      </c>
      <c r="D154" t="s">
        <v>44</v>
      </c>
      <c r="E154" t="s">
        <v>45</v>
      </c>
      <c r="F154" t="s">
        <v>17</v>
      </c>
      <c r="G154" t="s">
        <v>25</v>
      </c>
      <c r="H154">
        <v>1160</v>
      </c>
      <c r="I154" t="str">
        <f>TEXT(Table7[[#This Row],[Date]],"dddd")</f>
        <v>Saturday</v>
      </c>
      <c r="J154" t="str">
        <f>IF(OR(Table7[[#This Row],[Day]]="Saturday",Table7[[#This Row],[Day]]="Sunday"),"Weekend","Weekday")</f>
        <v>Weekend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633B1-9851-46D5-9F36-C56878458CCA}">
  <dimension ref="A1:G34"/>
  <sheetViews>
    <sheetView workbookViewId="0">
      <selection activeCell="N6" sqref="N6"/>
    </sheetView>
  </sheetViews>
  <sheetFormatPr defaultRowHeight="14.4" x14ac:dyDescent="0.3"/>
  <cols>
    <col min="1" max="1" width="12.44140625" bestFit="1" customWidth="1"/>
    <col min="2" max="2" width="13.5546875" bestFit="1" customWidth="1"/>
    <col min="3" max="5" width="10.33203125" bestFit="1" customWidth="1"/>
    <col min="6" max="6" width="12.44140625" bestFit="1" customWidth="1"/>
    <col min="7" max="7" width="13.5546875" bestFit="1" customWidth="1"/>
    <col min="8" max="31" width="10.33203125" bestFit="1" customWidth="1"/>
    <col min="32" max="32" width="10.5546875" bestFit="1" customWidth="1"/>
    <col min="33" max="33" width="14.88671875" bestFit="1" customWidth="1"/>
    <col min="34" max="34" width="12" bestFit="1" customWidth="1"/>
    <col min="35" max="35" width="14.88671875" bestFit="1" customWidth="1"/>
    <col min="36" max="36" width="12" bestFit="1" customWidth="1"/>
    <col min="37" max="37" width="14.88671875" bestFit="1" customWidth="1"/>
    <col min="38" max="38" width="12" bestFit="1" customWidth="1"/>
    <col min="39" max="39" width="14.88671875" bestFit="1" customWidth="1"/>
    <col min="40" max="40" width="12" bestFit="1" customWidth="1"/>
    <col min="41" max="41" width="14.88671875" bestFit="1" customWidth="1"/>
    <col min="42" max="42" width="12" bestFit="1" customWidth="1"/>
    <col min="43" max="43" width="14.88671875" bestFit="1" customWidth="1"/>
    <col min="44" max="44" width="12" bestFit="1" customWidth="1"/>
    <col min="45" max="45" width="14.88671875" bestFit="1" customWidth="1"/>
    <col min="46" max="46" width="12" bestFit="1" customWidth="1"/>
    <col min="47" max="47" width="14.88671875" bestFit="1" customWidth="1"/>
    <col min="48" max="48" width="12" bestFit="1" customWidth="1"/>
    <col min="49" max="49" width="14.88671875" bestFit="1" customWidth="1"/>
    <col min="50" max="50" width="12" bestFit="1" customWidth="1"/>
    <col min="51" max="51" width="14.88671875" bestFit="1" customWidth="1"/>
    <col min="52" max="52" width="12" bestFit="1" customWidth="1"/>
    <col min="53" max="53" width="14.88671875" bestFit="1" customWidth="1"/>
    <col min="54" max="54" width="12" bestFit="1" customWidth="1"/>
    <col min="55" max="55" width="14.88671875" bestFit="1" customWidth="1"/>
    <col min="56" max="56" width="12" bestFit="1" customWidth="1"/>
    <col min="57" max="57" width="14.88671875" bestFit="1" customWidth="1"/>
    <col min="58" max="58" width="12" bestFit="1" customWidth="1"/>
    <col min="59" max="59" width="14.88671875" bestFit="1" customWidth="1"/>
    <col min="60" max="60" width="12" bestFit="1" customWidth="1"/>
    <col min="61" max="61" width="14.88671875" bestFit="1" customWidth="1"/>
    <col min="62" max="62" width="10.5546875" bestFit="1" customWidth="1"/>
  </cols>
  <sheetData>
    <row r="1" spans="1:7" x14ac:dyDescent="0.3">
      <c r="A1" s="2" t="s">
        <v>5</v>
      </c>
      <c r="B1" t="s">
        <v>17</v>
      </c>
    </row>
    <row r="3" spans="1:7" x14ac:dyDescent="0.3">
      <c r="A3" s="2" t="s">
        <v>58</v>
      </c>
      <c r="B3" t="s">
        <v>59</v>
      </c>
    </row>
    <row r="4" spans="1:7" x14ac:dyDescent="0.3">
      <c r="A4" s="19">
        <v>46143</v>
      </c>
      <c r="B4" s="4">
        <v>5136</v>
      </c>
    </row>
    <row r="5" spans="1:7" x14ac:dyDescent="0.3">
      <c r="A5" s="19">
        <v>46144</v>
      </c>
      <c r="B5" s="4">
        <v>8982</v>
      </c>
      <c r="F5" s="2" t="s">
        <v>5</v>
      </c>
      <c r="G5" t="s">
        <v>17</v>
      </c>
    </row>
    <row r="6" spans="1:7" x14ac:dyDescent="0.3">
      <c r="A6" s="19">
        <v>46145</v>
      </c>
      <c r="B6" s="4">
        <v>4876</v>
      </c>
    </row>
    <row r="7" spans="1:7" x14ac:dyDescent="0.3">
      <c r="A7" s="19">
        <v>46146</v>
      </c>
      <c r="B7" s="4">
        <v>3502</v>
      </c>
      <c r="F7" s="2" t="s">
        <v>58</v>
      </c>
      <c r="G7" t="s">
        <v>59</v>
      </c>
    </row>
    <row r="8" spans="1:7" x14ac:dyDescent="0.3">
      <c r="A8" s="19">
        <v>46147</v>
      </c>
      <c r="B8" s="4">
        <v>6359</v>
      </c>
      <c r="F8" s="3" t="s">
        <v>77</v>
      </c>
      <c r="G8" s="4">
        <v>16944</v>
      </c>
    </row>
    <row r="9" spans="1:7" x14ac:dyDescent="0.3">
      <c r="A9" s="19">
        <v>46148</v>
      </c>
      <c r="B9" s="4">
        <v>4182</v>
      </c>
      <c r="F9" s="3" t="s">
        <v>78</v>
      </c>
      <c r="G9" s="4">
        <v>15394</v>
      </c>
    </row>
    <row r="10" spans="1:7" x14ac:dyDescent="0.3">
      <c r="A10" s="19">
        <v>46149</v>
      </c>
      <c r="B10" s="4">
        <v>4164</v>
      </c>
      <c r="F10" s="3" t="s">
        <v>79</v>
      </c>
      <c r="G10" s="4">
        <v>20562</v>
      </c>
    </row>
    <row r="11" spans="1:7" x14ac:dyDescent="0.3">
      <c r="A11" s="19">
        <v>46150</v>
      </c>
      <c r="B11" s="4">
        <v>1484</v>
      </c>
      <c r="F11" s="3" t="s">
        <v>80</v>
      </c>
      <c r="G11" s="4">
        <v>14339</v>
      </c>
    </row>
    <row r="12" spans="1:7" x14ac:dyDescent="0.3">
      <c r="A12" s="19">
        <v>46151</v>
      </c>
      <c r="B12" s="4">
        <v>4154</v>
      </c>
      <c r="F12" s="3" t="s">
        <v>81</v>
      </c>
      <c r="G12" s="4">
        <v>16314</v>
      </c>
    </row>
    <row r="13" spans="1:7" x14ac:dyDescent="0.3">
      <c r="A13" s="19">
        <v>46152</v>
      </c>
      <c r="B13" s="4">
        <v>4109</v>
      </c>
      <c r="F13" s="3" t="s">
        <v>75</v>
      </c>
      <c r="G13" s="4">
        <v>22128</v>
      </c>
    </row>
    <row r="14" spans="1:7" x14ac:dyDescent="0.3">
      <c r="A14" s="19">
        <v>46153</v>
      </c>
      <c r="B14" s="4">
        <v>2759</v>
      </c>
      <c r="F14" s="3" t="s">
        <v>76</v>
      </c>
      <c r="G14" s="4">
        <v>23033</v>
      </c>
    </row>
    <row r="15" spans="1:7" x14ac:dyDescent="0.3">
      <c r="A15" s="19">
        <v>46154</v>
      </c>
      <c r="B15" s="4">
        <v>5120</v>
      </c>
      <c r="F15" s="3" t="s">
        <v>60</v>
      </c>
      <c r="G15" s="4">
        <v>128714</v>
      </c>
    </row>
    <row r="16" spans="1:7" x14ac:dyDescent="0.3">
      <c r="A16" s="19">
        <v>46155</v>
      </c>
      <c r="B16" s="4">
        <v>3680</v>
      </c>
    </row>
    <row r="17" spans="1:2" x14ac:dyDescent="0.3">
      <c r="A17" s="19">
        <v>46156</v>
      </c>
      <c r="B17" s="4">
        <v>4201</v>
      </c>
    </row>
    <row r="18" spans="1:2" x14ac:dyDescent="0.3">
      <c r="A18" s="19">
        <v>46157</v>
      </c>
      <c r="B18" s="4">
        <v>5080</v>
      </c>
    </row>
    <row r="19" spans="1:2" x14ac:dyDescent="0.3">
      <c r="A19" s="19">
        <v>46158</v>
      </c>
      <c r="B19" s="4">
        <v>3638</v>
      </c>
    </row>
    <row r="20" spans="1:2" x14ac:dyDescent="0.3">
      <c r="A20" s="19">
        <v>46159</v>
      </c>
      <c r="B20" s="4">
        <v>2720</v>
      </c>
    </row>
    <row r="21" spans="1:2" x14ac:dyDescent="0.3">
      <c r="A21" s="19">
        <v>46160</v>
      </c>
      <c r="B21" s="4">
        <v>5365</v>
      </c>
    </row>
    <row r="22" spans="1:2" x14ac:dyDescent="0.3">
      <c r="A22" s="19">
        <v>46161</v>
      </c>
      <c r="B22" s="4">
        <v>3798</v>
      </c>
    </row>
    <row r="23" spans="1:2" x14ac:dyDescent="0.3">
      <c r="A23" s="19">
        <v>46162</v>
      </c>
      <c r="B23" s="4">
        <v>3879</v>
      </c>
    </row>
    <row r="24" spans="1:2" x14ac:dyDescent="0.3">
      <c r="A24" s="19">
        <v>46163</v>
      </c>
      <c r="B24" s="4">
        <v>4675</v>
      </c>
    </row>
    <row r="25" spans="1:2" x14ac:dyDescent="0.3">
      <c r="A25" s="19">
        <v>46164</v>
      </c>
      <c r="B25" s="4">
        <v>3616</v>
      </c>
    </row>
    <row r="26" spans="1:2" x14ac:dyDescent="0.3">
      <c r="A26" s="19">
        <v>46165</v>
      </c>
      <c r="B26" s="4">
        <v>3247</v>
      </c>
    </row>
    <row r="27" spans="1:2" x14ac:dyDescent="0.3">
      <c r="A27" s="19">
        <v>46166</v>
      </c>
      <c r="B27" s="4">
        <v>5239</v>
      </c>
    </row>
    <row r="28" spans="1:2" x14ac:dyDescent="0.3">
      <c r="A28" s="19">
        <v>46167</v>
      </c>
      <c r="B28" s="4">
        <v>3768</v>
      </c>
    </row>
    <row r="29" spans="1:2" x14ac:dyDescent="0.3">
      <c r="A29" s="19">
        <v>46168</v>
      </c>
      <c r="B29" s="4">
        <v>5285</v>
      </c>
    </row>
    <row r="30" spans="1:2" x14ac:dyDescent="0.3">
      <c r="A30" s="19">
        <v>46169</v>
      </c>
      <c r="B30" s="4">
        <v>2598</v>
      </c>
    </row>
    <row r="31" spans="1:2" x14ac:dyDescent="0.3">
      <c r="A31" s="19">
        <v>46170</v>
      </c>
      <c r="B31" s="4">
        <v>3274</v>
      </c>
    </row>
    <row r="32" spans="1:2" x14ac:dyDescent="0.3">
      <c r="A32" s="19">
        <v>46171</v>
      </c>
      <c r="B32" s="4">
        <v>6812</v>
      </c>
    </row>
    <row r="33" spans="1:2" x14ac:dyDescent="0.3">
      <c r="A33" s="19">
        <v>46172</v>
      </c>
      <c r="B33" s="4">
        <v>3012</v>
      </c>
    </row>
    <row r="34" spans="1:2" x14ac:dyDescent="0.3">
      <c r="A34" s="19" t="s">
        <v>60</v>
      </c>
      <c r="B34" s="4">
        <v>128714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9C5A7-8867-48D4-8B62-F45F445B6345}">
  <dimension ref="A3:K10"/>
  <sheetViews>
    <sheetView zoomScale="136" zoomScaleNormal="100" workbookViewId="0">
      <selection activeCell="K22" sqref="K22"/>
    </sheetView>
  </sheetViews>
  <sheetFormatPr defaultRowHeight="14.4" x14ac:dyDescent="0.3"/>
  <cols>
    <col min="1" max="1" width="12.6640625" bestFit="1" customWidth="1"/>
    <col min="2" max="2" width="13.88671875" bestFit="1" customWidth="1"/>
    <col min="11" max="11" width="37.6640625" customWidth="1"/>
    <col min="13" max="13" width="20.109375" customWidth="1"/>
  </cols>
  <sheetData>
    <row r="3" spans="1:11" x14ac:dyDescent="0.3">
      <c r="A3" s="2" t="s">
        <v>58</v>
      </c>
      <c r="B3" t="s">
        <v>59</v>
      </c>
    </row>
    <row r="4" spans="1:11" x14ac:dyDescent="0.3">
      <c r="A4" s="3" t="s">
        <v>26</v>
      </c>
      <c r="B4" s="4">
        <v>31280</v>
      </c>
    </row>
    <row r="5" spans="1:11" ht="15.6" x14ac:dyDescent="0.3">
      <c r="A5" s="3" t="s">
        <v>35</v>
      </c>
      <c r="B5" s="4">
        <v>25046</v>
      </c>
      <c r="K5" s="18" t="s">
        <v>72</v>
      </c>
    </row>
    <row r="6" spans="1:11" x14ac:dyDescent="0.3">
      <c r="A6" s="3" t="s">
        <v>14</v>
      </c>
      <c r="B6" s="4">
        <v>38740</v>
      </c>
    </row>
    <row r="7" spans="1:11" x14ac:dyDescent="0.3">
      <c r="A7" s="3" t="s">
        <v>32</v>
      </c>
      <c r="B7" s="4">
        <v>6000</v>
      </c>
    </row>
    <row r="8" spans="1:11" x14ac:dyDescent="0.3">
      <c r="A8" s="3" t="s">
        <v>22</v>
      </c>
      <c r="B8" s="4">
        <v>12320</v>
      </c>
    </row>
    <row r="9" spans="1:11" x14ac:dyDescent="0.3">
      <c r="A9" s="3" t="s">
        <v>19</v>
      </c>
      <c r="B9" s="4">
        <v>15328</v>
      </c>
    </row>
    <row r="10" spans="1:11" x14ac:dyDescent="0.3">
      <c r="A10" s="3" t="s">
        <v>60</v>
      </c>
      <c r="B10" s="4">
        <v>128714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4DFFF-DE96-448C-846D-E1DEE9A51E7F}">
  <dimension ref="A2:B8"/>
  <sheetViews>
    <sheetView workbookViewId="0">
      <selection activeCell="T8" sqref="T8"/>
    </sheetView>
  </sheetViews>
  <sheetFormatPr defaultRowHeight="14.4" x14ac:dyDescent="0.3"/>
  <cols>
    <col min="1" max="1" width="10.5546875" bestFit="1" customWidth="1"/>
    <col min="2" max="2" width="15.5546875" bestFit="1" customWidth="1"/>
    <col min="3" max="3" width="7.21875" bestFit="1" customWidth="1"/>
    <col min="4" max="5" width="6" bestFit="1" customWidth="1"/>
    <col min="6" max="6" width="10.5546875" bestFit="1" customWidth="1"/>
    <col min="7" max="7" width="5.109375" bestFit="1" customWidth="1"/>
    <col min="8" max="8" width="5" bestFit="1" customWidth="1"/>
    <col min="9" max="9" width="13.6640625" bestFit="1" customWidth="1"/>
    <col min="10" max="10" width="8.109375" customWidth="1"/>
    <col min="11" max="11" width="5.109375" bestFit="1" customWidth="1"/>
    <col min="12" max="12" width="5" bestFit="1" customWidth="1"/>
    <col min="13" max="13" width="10.88671875" bestFit="1" customWidth="1"/>
    <col min="14" max="14" width="8.6640625" bestFit="1" customWidth="1"/>
    <col min="15" max="15" width="5.109375" bestFit="1" customWidth="1"/>
    <col min="16" max="16" width="5" bestFit="1" customWidth="1"/>
    <col min="17" max="17" width="11.44140625" bestFit="1" customWidth="1"/>
    <col min="18" max="18" width="10.5546875" bestFit="1" customWidth="1"/>
    <col min="19" max="19" width="6" bestFit="1" customWidth="1"/>
    <col min="20" max="20" width="10.5546875" bestFit="1" customWidth="1"/>
  </cols>
  <sheetData>
    <row r="2" spans="1:2" x14ac:dyDescent="0.3">
      <c r="A2" s="2" t="s">
        <v>2</v>
      </c>
      <c r="B2" t="s">
        <v>73</v>
      </c>
    </row>
    <row r="4" spans="1:2" x14ac:dyDescent="0.3">
      <c r="B4" t="s">
        <v>59</v>
      </c>
    </row>
    <row r="5" spans="1:2" x14ac:dyDescent="0.3">
      <c r="A5" s="3" t="s">
        <v>18</v>
      </c>
      <c r="B5" s="4">
        <v>34001</v>
      </c>
    </row>
    <row r="6" spans="1:2" x14ac:dyDescent="0.3">
      <c r="A6" s="3" t="s">
        <v>29</v>
      </c>
      <c r="B6" s="4">
        <v>41599</v>
      </c>
    </row>
    <row r="7" spans="1:2" x14ac:dyDescent="0.3">
      <c r="A7" s="3" t="s">
        <v>25</v>
      </c>
      <c r="B7" s="4">
        <v>53114</v>
      </c>
    </row>
    <row r="8" spans="1:2" x14ac:dyDescent="0.3">
      <c r="A8" s="3" t="s">
        <v>60</v>
      </c>
      <c r="B8" s="4">
        <v>128714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4987-9B88-4F0B-88A9-2C54CAD50AF6}">
  <dimension ref="A1:N42"/>
  <sheetViews>
    <sheetView showGridLines="0" tabSelected="1" zoomScale="82" zoomScaleNormal="100" workbookViewId="0">
      <selection activeCell="N6" sqref="N6"/>
    </sheetView>
  </sheetViews>
  <sheetFormatPr defaultRowHeight="14.4" x14ac:dyDescent="0.3"/>
  <cols>
    <col min="1" max="1" width="16.109375" customWidth="1"/>
    <col min="2" max="2" width="18.6640625" customWidth="1"/>
    <col min="3" max="3" width="11.21875" customWidth="1"/>
    <col min="6" max="6" width="8.109375" customWidth="1"/>
    <col min="8" max="8" width="12.33203125" customWidth="1"/>
    <col min="9" max="9" width="8.6640625" customWidth="1"/>
    <col min="10" max="10" width="26.109375" customWidth="1"/>
    <col min="11" max="11" width="19.88671875" customWidth="1"/>
    <col min="12" max="12" width="5.77734375" customWidth="1"/>
    <col min="13" max="13" width="17.6640625" customWidth="1"/>
    <col min="14" max="14" width="19.109375" customWidth="1"/>
  </cols>
  <sheetData>
    <row r="1" spans="1:14" ht="25.8" customHeight="1" x14ac:dyDescent="0.4">
      <c r="A1" s="7" t="s">
        <v>70</v>
      </c>
      <c r="B1" s="7"/>
      <c r="J1" s="21" t="s">
        <v>64</v>
      </c>
      <c r="K1" s="22">
        <f>B4</f>
        <v>128714</v>
      </c>
      <c r="M1" s="35" t="s">
        <v>86</v>
      </c>
      <c r="N1" s="35" t="s">
        <v>87</v>
      </c>
    </row>
    <row r="2" spans="1:14" ht="17.399999999999999" x14ac:dyDescent="0.35">
      <c r="A2" s="8" t="s">
        <v>61</v>
      </c>
      <c r="B2" s="8" t="s">
        <v>62</v>
      </c>
      <c r="J2" s="23" t="s">
        <v>82</v>
      </c>
      <c r="K2" s="24">
        <f>AVERAGE('Date and Day Expense'!B4:B33)</f>
        <v>4290.4666666666662</v>
      </c>
      <c r="M2" s="33" t="s">
        <v>25</v>
      </c>
      <c r="N2" s="34">
        <f>SUMIF(full_30_day_budget_dataset!$G:$G,"UPI",full_30_day_budget_dataset!$H:$H)</f>
        <v>53114</v>
      </c>
    </row>
    <row r="3" spans="1:14" ht="15.6" x14ac:dyDescent="0.3">
      <c r="A3" s="10" t="s">
        <v>63</v>
      </c>
      <c r="B3" s="15">
        <f>SUMIFS(Table7[Amount],Table7[Type],"Income")</f>
        <v>150000</v>
      </c>
      <c r="J3" s="25" t="s">
        <v>84</v>
      </c>
      <c r="K3" s="26">
        <f>MAX('Date and Day Expense'!B4:B33)</f>
        <v>8982</v>
      </c>
      <c r="M3" s="31" t="s">
        <v>88</v>
      </c>
      <c r="N3" s="32">
        <f>SUMIF(full_30_day_budget_dataset!$G:$G,"Cash",full_30_day_budget_dataset!$H:$H)</f>
        <v>41599</v>
      </c>
    </row>
    <row r="4" spans="1:14" ht="16.2" thickBot="1" x14ac:dyDescent="0.35">
      <c r="A4" s="9" t="s">
        <v>64</v>
      </c>
      <c r="B4" s="16">
        <f>SUMIFS(Table7[Amount],Table7[Type],"Expense")</f>
        <v>128714</v>
      </c>
      <c r="J4" s="27" t="s">
        <v>85</v>
      </c>
      <c r="K4" s="28">
        <f>MIN('Date and Day Expense'!B4:B33)</f>
        <v>1484</v>
      </c>
      <c r="M4" s="29" t="s">
        <v>89</v>
      </c>
      <c r="N4" s="30">
        <f>SUMIF(full_30_day_budget_dataset!$G:$G,"Card",full_30_day_budget_dataset!$H:$H)</f>
        <v>34001</v>
      </c>
    </row>
    <row r="5" spans="1:14" ht="15.6" x14ac:dyDescent="0.3">
      <c r="A5" s="14" t="s">
        <v>65</v>
      </c>
      <c r="B5" s="17">
        <f>B3-B4</f>
        <v>21286</v>
      </c>
    </row>
    <row r="6" spans="1:14" ht="15.6" x14ac:dyDescent="0.3">
      <c r="A6" s="11" t="s">
        <v>71</v>
      </c>
      <c r="B6" s="12">
        <f>(B5/B3)</f>
        <v>0.14190666666666665</v>
      </c>
    </row>
    <row r="7" spans="1:14" x14ac:dyDescent="0.3">
      <c r="B7" s="5"/>
    </row>
    <row r="11" spans="1:14" x14ac:dyDescent="0.3">
      <c r="A11" s="6"/>
      <c r="B11" s="6"/>
      <c r="C11" s="6"/>
      <c r="D11" s="6"/>
    </row>
    <row r="14" spans="1:14" ht="18" x14ac:dyDescent="0.35">
      <c r="A14" s="13"/>
      <c r="B14" s="13"/>
      <c r="C14" s="13"/>
      <c r="D14" s="13"/>
      <c r="E14" s="13"/>
      <c r="F14" s="13"/>
    </row>
    <row r="35" spans="2:2" x14ac:dyDescent="0.3">
      <c r="B35" s="20"/>
    </row>
    <row r="42" spans="2:2" ht="27" customHeight="1" x14ac:dyDescent="0.3"/>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full_30_day_budget_dataset</vt:lpstr>
      <vt:lpstr>Table and extra information</vt:lpstr>
      <vt:lpstr>Date and Day Expense</vt:lpstr>
      <vt:lpstr>Expense Distribution</vt:lpstr>
      <vt:lpstr>Mode of payment</vt:lpstr>
      <vt:lpstr>Main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Umang Kumar</dc:creator>
  <cp:lastModifiedBy>Umang Kumar</cp:lastModifiedBy>
  <dcterms:created xsi:type="dcterms:W3CDTF">2026-05-03T20:57:32Z</dcterms:created>
  <dcterms:modified xsi:type="dcterms:W3CDTF">2026-05-08T11:20:50Z</dcterms:modified>
</cp:coreProperties>
</file>